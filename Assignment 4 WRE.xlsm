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"/>
    </mc:Choice>
  </mc:AlternateContent>
  <xr:revisionPtr revIDLastSave="0" documentId="8_{EE793065-90F4-BA4E-AE93-31CEB75D776D}" xr6:coauthVersionLast="43" xr6:coauthVersionMax="43" xr10:uidLastSave="{00000000-0000-0000-0000-000000000000}"/>
  <bookViews>
    <workbookView xWindow="0" yWindow="460" windowWidth="28800" windowHeight="16100" xr2:uid="{DF6BCA57-AB91-4449-9137-A0AAA009EA1E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33" i="1" l="1"/>
  <c r="AB33" i="1" s="1"/>
  <c r="AA34" i="1" s="1"/>
  <c r="AB34" i="1" s="1"/>
  <c r="AA35" i="1" s="1"/>
  <c r="AB35" i="1" s="1"/>
  <c r="AA36" i="1" s="1"/>
  <c r="AB36" i="1" s="1"/>
  <c r="AA37" i="1" s="1"/>
  <c r="AB37" i="1" s="1"/>
  <c r="AA38" i="1" s="1"/>
  <c r="AB38" i="1" s="1"/>
  <c r="AA39" i="1" s="1"/>
  <c r="AB39" i="1" s="1"/>
  <c r="AA40" i="1" s="1"/>
  <c r="AB40" i="1" s="1"/>
  <c r="AA32" i="1"/>
  <c r="AB32" i="1" s="1"/>
  <c r="AA31" i="1"/>
  <c r="AB31" i="1" s="1"/>
  <c r="AB30" i="1"/>
  <c r="Z31" i="1"/>
  <c r="Z32" i="1"/>
  <c r="Z33" i="1"/>
  <c r="Z34" i="1"/>
  <c r="Z35" i="1"/>
  <c r="Z36" i="1"/>
  <c r="Z37" i="1"/>
  <c r="Z38" i="1"/>
  <c r="Z39" i="1"/>
  <c r="Z40" i="1"/>
  <c r="Y31" i="1"/>
  <c r="Y32" i="1"/>
  <c r="Y33" i="1"/>
  <c r="Y34" i="1"/>
  <c r="Y35" i="1"/>
  <c r="Y36" i="1"/>
  <c r="Y37" i="1"/>
  <c r="Y38" i="1"/>
  <c r="Y39" i="1"/>
  <c r="Y40" i="1"/>
  <c r="AA30" i="1"/>
  <c r="Z30" i="1"/>
  <c r="Y30" i="1"/>
  <c r="F74" i="1" l="1"/>
  <c r="E74" i="1" s="1"/>
  <c r="F75" i="1" s="1"/>
  <c r="E75" i="1" s="1"/>
  <c r="D75" i="1"/>
  <c r="D76" i="1"/>
  <c r="D77" i="1"/>
  <c r="D78" i="1"/>
  <c r="D79" i="1"/>
  <c r="D80" i="1"/>
  <c r="D81" i="1"/>
  <c r="D82" i="1"/>
  <c r="D74" i="1"/>
  <c r="S74" i="1"/>
  <c r="S73" i="1"/>
  <c r="R77" i="1"/>
  <c r="R78" i="1"/>
  <c r="S78" i="1" s="1"/>
  <c r="R79" i="1"/>
  <c r="R76" i="1"/>
  <c r="S76" i="1" s="1"/>
  <c r="Q74" i="1"/>
  <c r="Q75" i="1"/>
  <c r="S75" i="1" s="1"/>
  <c r="Q76" i="1"/>
  <c r="Q77" i="1"/>
  <c r="S77" i="1" s="1"/>
  <c r="Q78" i="1"/>
  <c r="Q79" i="1"/>
  <c r="S79" i="1" s="1"/>
  <c r="Q73" i="1"/>
  <c r="P56" i="1"/>
  <c r="O56" i="1"/>
  <c r="O47" i="1"/>
  <c r="O48" i="1"/>
  <c r="O49" i="1"/>
  <c r="O50" i="1"/>
  <c r="O51" i="1"/>
  <c r="O52" i="1"/>
  <c r="O53" i="1"/>
  <c r="O54" i="1"/>
  <c r="O55" i="1"/>
  <c r="O46" i="1"/>
  <c r="D48" i="1"/>
  <c r="D49" i="1"/>
  <c r="D50" i="1"/>
  <c r="D51" i="1"/>
  <c r="D52" i="1"/>
  <c r="D53" i="1"/>
  <c r="D54" i="1"/>
  <c r="D55" i="1"/>
  <c r="D56" i="1"/>
  <c r="D47" i="1"/>
  <c r="P47" i="1"/>
  <c r="P48" i="1"/>
  <c r="P49" i="1"/>
  <c r="P50" i="1"/>
  <c r="P51" i="1"/>
  <c r="P52" i="1"/>
  <c r="P53" i="1"/>
  <c r="P54" i="1"/>
  <c r="P55" i="1"/>
  <c r="P46" i="1"/>
  <c r="F76" i="1" l="1"/>
  <c r="E76" i="1" s="1"/>
  <c r="F77" i="1" s="1"/>
  <c r="E77" i="1" s="1"/>
  <c r="F78" i="1" s="1"/>
  <c r="E78" i="1" s="1"/>
  <c r="F79" i="1" s="1"/>
  <c r="E79" i="1" s="1"/>
  <c r="F80" i="1" s="1"/>
  <c r="E80" i="1" s="1"/>
  <c r="F81" i="1" s="1"/>
  <c r="E81" i="1" s="1"/>
  <c r="F82" i="1" s="1"/>
  <c r="E82" i="1" s="1"/>
  <c r="F83" i="1" s="1"/>
  <c r="E83" i="1" s="1"/>
  <c r="Q56" i="1"/>
  <c r="E46" i="1"/>
  <c r="F47" i="1" s="1"/>
  <c r="E47" i="1" s="1"/>
  <c r="F48" i="1" s="1"/>
  <c r="E48" i="1" s="1"/>
  <c r="F49" i="1" s="1"/>
  <c r="E49" i="1" s="1"/>
  <c r="F50" i="1" s="1"/>
  <c r="E50" i="1" s="1"/>
  <c r="F51" i="1" s="1"/>
  <c r="E51" i="1" s="1"/>
  <c r="F52" i="1" s="1"/>
  <c r="E52" i="1" s="1"/>
  <c r="F53" i="1" s="1"/>
  <c r="E53" i="1" s="1"/>
  <c r="F54" i="1" s="1"/>
  <c r="E54" i="1" s="1"/>
  <c r="F55" i="1" s="1"/>
  <c r="E55" i="1" s="1"/>
  <c r="F56" i="1" s="1"/>
  <c r="Q52" i="1"/>
  <c r="Q48" i="1"/>
  <c r="Q54" i="1"/>
  <c r="Q50" i="1"/>
  <c r="Q53" i="1"/>
  <c r="Q49" i="1"/>
  <c r="Q55" i="1"/>
  <c r="Q51" i="1"/>
  <c r="Q47" i="1"/>
  <c r="Q46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C29" i="1"/>
  <c r="B29" i="1"/>
  <c r="M34" i="1" l="1"/>
  <c r="M38" i="1"/>
  <c r="M42" i="1"/>
  <c r="D32" i="1"/>
  <c r="L34" i="1"/>
  <c r="D36" i="1"/>
  <c r="L38" i="1"/>
  <c r="D40" i="1"/>
  <c r="L42" i="1"/>
  <c r="D30" i="1"/>
  <c r="F30" i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M31" i="1"/>
  <c r="M32" i="1"/>
  <c r="M33" i="1"/>
  <c r="M35" i="1"/>
  <c r="M36" i="1"/>
  <c r="M37" i="1"/>
  <c r="M39" i="1"/>
  <c r="M40" i="1"/>
  <c r="M41" i="1"/>
  <c r="M30" i="1"/>
  <c r="L31" i="1"/>
  <c r="L32" i="1"/>
  <c r="L33" i="1"/>
  <c r="L35" i="1"/>
  <c r="L36" i="1"/>
  <c r="L37" i="1"/>
  <c r="L39" i="1"/>
  <c r="L40" i="1"/>
  <c r="L41" i="1"/>
  <c r="L30" i="1"/>
  <c r="D31" i="1"/>
  <c r="D35" i="1"/>
  <c r="D39" i="1"/>
  <c r="I40" i="1" l="1"/>
  <c r="I32" i="1"/>
  <c r="I35" i="1"/>
  <c r="I31" i="1"/>
  <c r="I39" i="1"/>
  <c r="I36" i="1"/>
  <c r="I30" i="1"/>
  <c r="D42" i="1"/>
  <c r="D38" i="1"/>
  <c r="D34" i="1"/>
  <c r="D41" i="1"/>
  <c r="D37" i="1"/>
  <c r="D33" i="1"/>
  <c r="E33" i="1"/>
  <c r="E37" i="1"/>
  <c r="E41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E4" i="1"/>
  <c r="D4" i="1"/>
  <c r="C4" i="1"/>
  <c r="F4" i="1" l="1"/>
  <c r="E5" i="1" s="1"/>
  <c r="F5" i="1" s="1"/>
  <c r="E6" i="1" s="1"/>
  <c r="F6" i="1" s="1"/>
  <c r="E7" i="1" s="1"/>
  <c r="F7" i="1" s="1"/>
  <c r="E8" i="1" s="1"/>
  <c r="F8" i="1" s="1"/>
  <c r="E9" i="1" s="1"/>
  <c r="F9" i="1" s="1"/>
  <c r="E10" i="1" s="1"/>
  <c r="F10" i="1" s="1"/>
  <c r="E11" i="1" s="1"/>
  <c r="F11" i="1" s="1"/>
  <c r="E12" i="1" s="1"/>
  <c r="F12" i="1" s="1"/>
  <c r="E13" i="1" s="1"/>
  <c r="F13" i="1" s="1"/>
  <c r="E14" i="1" s="1"/>
  <c r="F14" i="1" s="1"/>
  <c r="E15" i="1" s="1"/>
  <c r="F15" i="1" s="1"/>
  <c r="E16" i="1" s="1"/>
  <c r="F16" i="1" s="1"/>
  <c r="E17" i="1" s="1"/>
  <c r="F17" i="1" s="1"/>
  <c r="E18" i="1" s="1"/>
  <c r="F18" i="1" s="1"/>
  <c r="E19" i="1" s="1"/>
  <c r="F19" i="1" s="1"/>
  <c r="E20" i="1" s="1"/>
  <c r="F20" i="1" s="1"/>
  <c r="E21" i="1" s="1"/>
  <c r="F21" i="1" s="1"/>
  <c r="E22" i="1" s="1"/>
  <c r="F22" i="1" s="1"/>
  <c r="I34" i="1"/>
  <c r="I33" i="1"/>
  <c r="I38" i="1"/>
  <c r="I37" i="1"/>
  <c r="I42" i="1"/>
  <c r="I41" i="1"/>
  <c r="E38" i="1"/>
  <c r="E42" i="1"/>
  <c r="E34" i="1"/>
  <c r="E30" i="1"/>
  <c r="E40" i="1"/>
  <c r="E36" i="1"/>
  <c r="E32" i="1"/>
  <c r="E39" i="1"/>
  <c r="E35" i="1"/>
  <c r="E31" i="1"/>
</calcChain>
</file>

<file path=xl/sharedStrings.xml><?xml version="1.0" encoding="utf-8"?>
<sst xmlns="http://schemas.openxmlformats.org/spreadsheetml/2006/main" count="71" uniqueCount="55">
  <si>
    <t>question 2</t>
  </si>
  <si>
    <t>Time[h]</t>
  </si>
  <si>
    <t>Inflow (m^3/s)</t>
  </si>
  <si>
    <t>t = 1hr</t>
  </si>
  <si>
    <t>k= 2.61 [h]</t>
  </si>
  <si>
    <t>X = 0.172</t>
  </si>
  <si>
    <t>C1</t>
  </si>
  <si>
    <t>C2</t>
  </si>
  <si>
    <t>C3</t>
  </si>
  <si>
    <t>Q outflow</t>
  </si>
  <si>
    <t>question 3</t>
  </si>
  <si>
    <t>Time [h]</t>
  </si>
  <si>
    <t>Inflow [m^3/s]</t>
  </si>
  <si>
    <t>Outflow [m^3/s]</t>
  </si>
  <si>
    <t>Numerator</t>
  </si>
  <si>
    <t>Denominator</t>
  </si>
  <si>
    <t>X</t>
  </si>
  <si>
    <t>question 4</t>
  </si>
  <si>
    <t>Inflow</t>
  </si>
  <si>
    <t>height</t>
  </si>
  <si>
    <t>outflow (Q)</t>
  </si>
  <si>
    <t>minimum pool level = 202 m</t>
  </si>
  <si>
    <t>Ij +Ij+1</t>
  </si>
  <si>
    <t>2*Sj/t  - Qj</t>
  </si>
  <si>
    <t>2*Sj+1/t  + Qj+1</t>
  </si>
  <si>
    <t>2*S/t +Q</t>
  </si>
  <si>
    <t xml:space="preserve">outflow </t>
  </si>
  <si>
    <t>interpolated outflow</t>
  </si>
  <si>
    <t>time index j</t>
  </si>
  <si>
    <t xml:space="preserve">peak flow </t>
  </si>
  <si>
    <t>question 5</t>
  </si>
  <si>
    <t>elevation[m]</t>
  </si>
  <si>
    <t>storage [Ha m]</t>
  </si>
  <si>
    <t>storage [m^3 ]</t>
  </si>
  <si>
    <t>outflow [m^3/s]</t>
  </si>
  <si>
    <t>time [h]</t>
  </si>
  <si>
    <t>inflow [m^3/s]</t>
  </si>
  <si>
    <t>time index [j]</t>
  </si>
  <si>
    <t>Ij + Ij+1</t>
  </si>
  <si>
    <t>2*Sj/t - Qj</t>
  </si>
  <si>
    <t>S = 39.54</t>
  </si>
  <si>
    <t>interpolated result</t>
  </si>
  <si>
    <t>X= 0.25</t>
  </si>
  <si>
    <t>K= 10.459 [h]</t>
  </si>
  <si>
    <t>part b</t>
  </si>
  <si>
    <t>time = 6 hr</t>
  </si>
  <si>
    <t>K =10.459 hr</t>
  </si>
  <si>
    <t>X =0.25</t>
  </si>
  <si>
    <t>Q1 due to C1</t>
  </si>
  <si>
    <t>Q2 due to C2</t>
  </si>
  <si>
    <t>Q3 due to C3</t>
  </si>
  <si>
    <t>outflow</t>
  </si>
  <si>
    <t>storage (S) [m^3]</t>
  </si>
  <si>
    <t xml:space="preserve"> Q1 due to C1</t>
  </si>
  <si>
    <t>inflow water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</si>
</sst>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>
    <font>
      <sz val="12"/>
      <color theme="1"/>
      <name val="Calibri"/>
      <family val="2"/>
      <scheme val="minor"/>
    </font>
    <font>
      <sz val="12"/>
      <color theme="1"/>
      <name val="CMR1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0" borderId="0" xfId="0" applyFont="1"/>
    <xf numFmtId="164" fontId="0" fillId="0" borderId="0" xfId="0" applyNumberFormat="1"/>
    <xf numFmtId="2" fontId="0" fillId="0" borderId="0" xfId="0" applyNumberFormat="1"/>
    <xf numFmtId="0" fontId="0" fillId="3" borderId="0" xfId="0" applyFill="1"/>
    <xf numFmtId="2" fontId="0" fillId="3" borderId="0" xfId="0" applyNumberForma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Muskingham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0157754548253"/>
          <c:y val="0.14120552731702812"/>
          <c:w val="0.67687245592056211"/>
          <c:h val="0.70878194221114266"/>
        </c:manualLayout>
      </c:layout>
      <c:scatterChart>
        <c:scatterStyle val="smoothMarker"/>
        <c:varyColors val="0"/>
        <c:ser>
          <c:idx val="0"/>
          <c:order val="0"/>
          <c:tx>
            <c:v>outflow hydrograph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Sheet1!$F$3:$F$22</c:f>
              <c:numCache>
                <c:formatCode>0.000</c:formatCode>
                <c:ptCount val="20"/>
                <c:pt idx="0" formatCode="General">
                  <c:v>90</c:v>
                </c:pt>
                <c:pt idx="1">
                  <c:v>90.96</c:v>
                </c:pt>
                <c:pt idx="2">
                  <c:v>110.73323199999999</c:v>
                </c:pt>
                <c:pt idx="3">
                  <c:v>150.14968341439999</c:v>
                </c:pt>
                <c:pt idx="4">
                  <c:v>216.28343238726848</c:v>
                </c:pt>
                <c:pt idx="5">
                  <c:v>302.468118496133</c:v>
                </c:pt>
                <c:pt idx="6">
                  <c:v>397.21859956528624</c:v>
                </c:pt>
                <c:pt idx="7">
                  <c:v>489.22384984865164</c:v>
                </c:pt>
                <c:pt idx="8">
                  <c:v>561.10952707552826</c:v>
                </c:pt>
                <c:pt idx="9">
                  <c:v>608.7785668005447</c:v>
                </c:pt>
                <c:pt idx="10">
                  <c:v>622.73358139690004</c:v>
                </c:pt>
                <c:pt idx="11">
                  <c:v>600.99630150794496</c:v>
                </c:pt>
                <c:pt idx="12">
                  <c:v>550.23189140125919</c:v>
                </c:pt>
                <c:pt idx="13">
                  <c:v>488.48074661266594</c:v>
                </c:pt>
                <c:pt idx="14">
                  <c:v>420.06368203562607</c:v>
                </c:pt>
                <c:pt idx="15">
                  <c:v>351.24375032663772</c:v>
                </c:pt>
                <c:pt idx="16">
                  <c:v>285.93034895388723</c:v>
                </c:pt>
                <c:pt idx="17">
                  <c:v>226.75572381701639</c:v>
                </c:pt>
                <c:pt idx="18">
                  <c:v>178.92892280658162</c:v>
                </c:pt>
                <c:pt idx="19">
                  <c:v>145.41343361586823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78-6F4D-B33D-61D850EA8B52}"/>
            </c:ext>
          </c:extLst>
        </c:ser>
        <c:ser>
          <c:idx val="1"/>
          <c:order val="1"/>
          <c:tx>
            <c:v>inflow hydrograph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Sheet1!$A$3:$A$22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Sheet1!$B$3:$B$22</c:f>
              <c:numCache>
                <c:formatCode>General</c:formatCode>
                <c:ptCount val="20"/>
                <c:pt idx="0">
                  <c:v>90</c:v>
                </c:pt>
                <c:pt idx="1">
                  <c:v>140</c:v>
                </c:pt>
                <c:pt idx="2">
                  <c:v>210</c:v>
                </c:pt>
                <c:pt idx="3">
                  <c:v>320</c:v>
                </c:pt>
                <c:pt idx="4">
                  <c:v>440</c:v>
                </c:pt>
                <c:pt idx="5">
                  <c:v>550</c:v>
                </c:pt>
                <c:pt idx="6">
                  <c:v>640</c:v>
                </c:pt>
                <c:pt idx="7">
                  <c:v>680</c:v>
                </c:pt>
                <c:pt idx="8">
                  <c:v>690</c:v>
                </c:pt>
                <c:pt idx="9">
                  <c:v>650</c:v>
                </c:pt>
                <c:pt idx="10">
                  <c:v>570</c:v>
                </c:pt>
                <c:pt idx="11">
                  <c:v>470</c:v>
                </c:pt>
                <c:pt idx="12">
                  <c:v>390</c:v>
                </c:pt>
                <c:pt idx="13">
                  <c:v>310</c:v>
                </c:pt>
                <c:pt idx="14">
                  <c:v>240</c:v>
                </c:pt>
                <c:pt idx="15">
                  <c:v>180</c:v>
                </c:pt>
                <c:pt idx="16">
                  <c:v>130</c:v>
                </c:pt>
                <c:pt idx="17">
                  <c:v>100</c:v>
                </c:pt>
                <c:pt idx="18">
                  <c:v>90</c:v>
                </c:pt>
                <c:pt idx="19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78-6F4D-B33D-61D850EA8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136160"/>
        <c:axId val="477137840"/>
      </c:scatterChart>
      <c:valAx>
        <c:axId val="47713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7840"/>
        <c:crosses val="autoZero"/>
        <c:crossBetween val="midCat"/>
      </c:valAx>
      <c:valAx>
        <c:axId val="4771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[m^3/s]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Muskingham method K_value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33467303195083198"/>
                  <c:y val="-3.01014205934179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Sheet1!$E$30:$E$42</c:f>
              <c:numCache>
                <c:formatCode>General</c:formatCode>
                <c:ptCount val="13"/>
                <c:pt idx="0">
                  <c:v>17.5</c:v>
                </c:pt>
                <c:pt idx="1">
                  <c:v>51.25</c:v>
                </c:pt>
                <c:pt idx="2">
                  <c:v>76.249999999999986</c:v>
                </c:pt>
                <c:pt idx="3">
                  <c:v>38.75</c:v>
                </c:pt>
                <c:pt idx="4">
                  <c:v>0</c:v>
                </c:pt>
                <c:pt idx="5">
                  <c:v>-26.25</c:v>
                </c:pt>
                <c:pt idx="6">
                  <c:v>-32.5</c:v>
                </c:pt>
                <c:pt idx="7">
                  <c:v>-32.499999999999986</c:v>
                </c:pt>
                <c:pt idx="8">
                  <c:v>-31.25</c:v>
                </c:pt>
                <c:pt idx="9">
                  <c:v>-22.5</c:v>
                </c:pt>
                <c:pt idx="10">
                  <c:v>-17.5</c:v>
                </c:pt>
                <c:pt idx="11">
                  <c:v>-13.75</c:v>
                </c:pt>
                <c:pt idx="12">
                  <c:v>-8.7500000000000018</c:v>
                </c:pt>
              </c:numCache>
            </c:numRef>
          </c:xVal>
          <c:yVal>
            <c:numRef>
              <c:f>Sheet1!$D$30:$D$42</c:f>
              <c:numCache>
                <c:formatCode>General</c:formatCode>
                <c:ptCount val="13"/>
                <c:pt idx="0">
                  <c:v>141.19999999999999</c:v>
                </c:pt>
                <c:pt idx="1">
                  <c:v>606.20000000000005</c:v>
                </c:pt>
                <c:pt idx="2">
                  <c:v>816.20000000000016</c:v>
                </c:pt>
                <c:pt idx="3">
                  <c:v>456.20000000000016</c:v>
                </c:pt>
                <c:pt idx="4">
                  <c:v>21.200000000000159</c:v>
                </c:pt>
                <c:pt idx="5">
                  <c:v>-233.79999999999984</c:v>
                </c:pt>
                <c:pt idx="6">
                  <c:v>-338.79999999999984</c:v>
                </c:pt>
                <c:pt idx="7">
                  <c:v>-338.79999999999995</c:v>
                </c:pt>
                <c:pt idx="8">
                  <c:v>-263.8</c:v>
                </c:pt>
                <c:pt idx="9">
                  <c:v>-188.8</c:v>
                </c:pt>
                <c:pt idx="10">
                  <c:v>-128.80000000000001</c:v>
                </c:pt>
                <c:pt idx="11">
                  <c:v>-83.800000000000011</c:v>
                </c:pt>
                <c:pt idx="12">
                  <c:v>-53.8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2D-1C4B-AFF4-9996C4A4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19888"/>
        <c:axId val="476004544"/>
      </c:scatterChart>
      <c:valAx>
        <c:axId val="47601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Denominator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04544"/>
        <c:crosses val="autoZero"/>
        <c:crossBetween val="midCat"/>
      </c:valAx>
      <c:valAx>
        <c:axId val="47600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Numerator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1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>
                <a:effectLst/>
              </a:rPr>
              <a:t>Q vs (2*S/t +Q) relationship</a:t>
            </a:r>
            <a:r>
              <a:rPr lang="en-IN" sz="1400" b="0" i="0" u="none" strike="noStrike" baseline="0"/>
              <a:t>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Sheet1!$Q$46:$Q$63</c:f>
              <c:numCache>
                <c:formatCode>0.00</c:formatCode>
                <c:ptCount val="18"/>
                <c:pt idx="0">
                  <c:v>0</c:v>
                </c:pt>
                <c:pt idx="1">
                  <c:v>72.911111111111111</c:v>
                </c:pt>
                <c:pt idx="2">
                  <c:v>160.93294002240441</c:v>
                </c:pt>
                <c:pt idx="3">
                  <c:v>288.80516832260673</c:v>
                </c:pt>
                <c:pt idx="4">
                  <c:v>458.87777777777774</c:v>
                </c:pt>
                <c:pt idx="5">
                  <c:v>672.06101404039214</c:v>
                </c:pt>
                <c:pt idx="6">
                  <c:v>928.82170649768955</c:v>
                </c:pt>
                <c:pt idx="7">
                  <c:v>1229.4371732187594</c:v>
                </c:pt>
                <c:pt idx="8">
                  <c:v>1574.088102267031</c:v>
                </c:pt>
                <c:pt idx="9">
                  <c:v>1962.9</c:v>
                </c:pt>
                <c:pt idx="10">
                  <c:v>2395.9642468326228</c:v>
                </c:pt>
              </c:numCache>
            </c:numRef>
          </c:xVal>
          <c:yVal>
            <c:numRef>
              <c:f>Sheet1!$P$46:$P$63</c:f>
              <c:numCache>
                <c:formatCode>0.00</c:formatCode>
                <c:ptCount val="18"/>
                <c:pt idx="0">
                  <c:v>0</c:v>
                </c:pt>
                <c:pt idx="1">
                  <c:v>50.55</c:v>
                </c:pt>
                <c:pt idx="2">
                  <c:v>71.488495577959952</c:v>
                </c:pt>
                <c:pt idx="3">
                  <c:v>87.555168322606733</c:v>
                </c:pt>
                <c:pt idx="4">
                  <c:v>101.1</c:v>
                </c:pt>
                <c:pt idx="5">
                  <c:v>113.03323626261437</c:v>
                </c:pt>
                <c:pt idx="6">
                  <c:v>123.82170649768963</c:v>
                </c:pt>
                <c:pt idx="7">
                  <c:v>133.74272877431505</c:v>
                </c:pt>
                <c:pt idx="8">
                  <c:v>142.9769911559199</c:v>
                </c:pt>
                <c:pt idx="9">
                  <c:v>151.64999999999998</c:v>
                </c:pt>
                <c:pt idx="10">
                  <c:v>159.85313572151156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79-E548-899C-11CE4121F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0543503"/>
        <c:axId val="1112026911"/>
      </c:scatterChart>
      <c:valAx>
        <c:axId val="10605435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0" i="0" u="none" strike="noStrike" baseline="0">
                    <a:effectLst/>
                  </a:rPr>
                  <a:t>2*S/t +Q [m^3/s]</a:t>
                </a:r>
                <a:r>
                  <a:rPr lang="en-IN" sz="1000" b="0" i="0" u="none" strike="noStrike" baseline="0"/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026911"/>
        <c:crosses val="autoZero"/>
        <c:crossBetween val="midCat"/>
      </c:valAx>
      <c:valAx>
        <c:axId val="111202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[m^3/s]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54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Level Pool Routing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006266404199476"/>
          <c:h val="0.65049394867308252"/>
        </c:manualLayout>
      </c:layout>
      <c:scatterChart>
        <c:scatterStyle val="smoothMarker"/>
        <c:varyColors val="0"/>
        <c:ser>
          <c:idx val="0"/>
          <c:order val="0"/>
          <c:tx>
            <c:v>inflow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Sheet1!$B$46:$B$56</c:f>
              <c:numCache>
                <c:formatCode>General</c:formatCode>
                <c:ptCount val="1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</c:numCache>
            </c:numRef>
          </c:xVal>
          <c:yVal>
            <c:numRef>
              <c:f>Sheet1!$C$46:$C$56</c:f>
              <c:numCache>
                <c:formatCode>General</c:formatCode>
                <c:ptCount val="11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180</c:v>
                </c:pt>
                <c:pt idx="5">
                  <c:v>130</c:v>
                </c:pt>
                <c:pt idx="6">
                  <c:v>80</c:v>
                </c:pt>
                <c:pt idx="7">
                  <c:v>40</c:v>
                </c:pt>
                <c:pt idx="8">
                  <c:v>25</c:v>
                </c:pt>
                <c:pt idx="9">
                  <c:v>20</c:v>
                </c:pt>
                <c:pt idx="10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8F-BA45-9FCC-057BB086502D}"/>
            </c:ext>
          </c:extLst>
        </c:ser>
        <c:ser>
          <c:idx val="1"/>
          <c:order val="1"/>
          <c:tx>
            <c:v>outflow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Sheet1!$B$46:$B$56</c:f>
              <c:numCache>
                <c:formatCode>General</c:formatCode>
                <c:ptCount val="1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</c:numCache>
            </c:numRef>
          </c:xVal>
          <c:yVal>
            <c:numRef>
              <c:f>Sheet1!$G$46:$G$56</c:f>
              <c:numCache>
                <c:formatCode>0.000</c:formatCode>
                <c:ptCount val="11"/>
                <c:pt idx="0" formatCode="General">
                  <c:v>0</c:v>
                </c:pt>
                <c:pt idx="1">
                  <c:v>54.615078274990722</c:v>
                </c:pt>
                <c:pt idx="2">
                  <c:v>71.449735659189969</c:v>
                </c:pt>
                <c:pt idx="3">
                  <c:v>91.462763369680431</c:v>
                </c:pt>
                <c:pt idx="4">
                  <c:v>105.3576915725171</c:v>
                </c:pt>
                <c:pt idx="5">
                  <c:v>110.9155911958036</c:v>
                </c:pt>
                <c:pt idx="6">
                  <c:v>110.25339004217805</c:v>
                </c:pt>
                <c:pt idx="7">
                  <c:v>104.62719917566052</c:v>
                </c:pt>
                <c:pt idx="8">
                  <c:v>94.630104410284133</c:v>
                </c:pt>
                <c:pt idx="9">
                  <c:v>80.591200828697993</c:v>
                </c:pt>
                <c:pt idx="10">
                  <c:v>58.704208703624111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8F-BA45-9FCC-057BB0865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453999"/>
        <c:axId val="1110815663"/>
      </c:scatterChart>
      <c:valAx>
        <c:axId val="1127453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815663"/>
        <c:crosses val="autoZero"/>
        <c:crossBetween val="midCat"/>
      </c:valAx>
      <c:valAx>
        <c:axId val="111081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[m^3/s]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453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Level Pool Routing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inflow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Sheet1!$B$73:$B$83</c:f>
              <c:numCache>
                <c:formatCode>General</c:formatCode>
                <c:ptCount val="1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xVal>
          <c:yVal>
            <c:numRef>
              <c:f>Sheet1!$C$73:$C$83</c:f>
              <c:numCache>
                <c:formatCode>General</c:formatCode>
                <c:ptCount val="11"/>
                <c:pt idx="0">
                  <c:v>7</c:v>
                </c:pt>
                <c:pt idx="1">
                  <c:v>24</c:v>
                </c:pt>
                <c:pt idx="2">
                  <c:v>60</c:v>
                </c:pt>
                <c:pt idx="3">
                  <c:v>75</c:v>
                </c:pt>
                <c:pt idx="4">
                  <c:v>62</c:v>
                </c:pt>
                <c:pt idx="5">
                  <c:v>36</c:v>
                </c:pt>
                <c:pt idx="6">
                  <c:v>26</c:v>
                </c:pt>
                <c:pt idx="7">
                  <c:v>18</c:v>
                </c:pt>
                <c:pt idx="8">
                  <c:v>12</c:v>
                </c:pt>
                <c:pt idx="9">
                  <c:v>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91-AE4D-8DC5-070532A60F04}"/>
            </c:ext>
          </c:extLst>
        </c:ser>
        <c:ser>
          <c:idx val="1"/>
          <c:order val="1"/>
          <c:tx>
            <c:v>outflow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Sheet1!$B$74:$B$83</c:f>
              <c:numCache>
                <c:formatCode>General</c:formatCode>
                <c:ptCount val="1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</c:numCache>
            </c:numRef>
          </c:xVal>
          <c:yVal>
            <c:numRef>
              <c:f>Sheet1!$G$74:$G$83</c:f>
              <c:numCache>
                <c:formatCode>0.000</c:formatCode>
                <c:ptCount val="10"/>
                <c:pt idx="0" formatCode="General">
                  <c:v>0</c:v>
                </c:pt>
                <c:pt idx="1">
                  <c:v>25.552704934134695</c:v>
                </c:pt>
                <c:pt idx="2">
                  <c:v>72.217427204477687</c:v>
                </c:pt>
                <c:pt idx="3">
                  <c:v>67.927773369489998</c:v>
                </c:pt>
                <c:pt idx="4">
                  <c:v>46.086598443155928</c:v>
                </c:pt>
                <c:pt idx="5">
                  <c:v>30.022514805709704</c:v>
                </c:pt>
                <c:pt idx="6">
                  <c:v>21.516038778023685</c:v>
                </c:pt>
                <c:pt idx="7">
                  <c:v>14.997243816254413</c:v>
                </c:pt>
                <c:pt idx="8">
                  <c:v>10.801272084805648</c:v>
                </c:pt>
                <c:pt idx="9">
                  <c:v>2.5573992932862146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91-AE4D-8DC5-070532A60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460159"/>
        <c:axId val="1060917151"/>
      </c:scatterChart>
      <c:valAx>
        <c:axId val="1004460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917151"/>
        <c:crosses val="autoZero"/>
        <c:crossBetween val="midCat"/>
      </c:valAx>
      <c:valAx>
        <c:axId val="106091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[m^3/s]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601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baseline="0">
                <a:effectLst/>
              </a:rPr>
              <a:t>Q vs (2*S/t +Q) relationship  </a:t>
            </a:r>
            <a:endParaRPr lang="en-IN" sz="1400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Sheet1!$S$73:$S$79</c:f>
              <c:numCache>
                <c:formatCode>0.000</c:formatCode>
                <c:ptCount val="7"/>
                <c:pt idx="0">
                  <c:v>22.222222222222221</c:v>
                </c:pt>
                <c:pt idx="1">
                  <c:v>61.111111111111114</c:v>
                </c:pt>
                <c:pt idx="2">
                  <c:v>91.666666666666671</c:v>
                </c:pt>
                <c:pt idx="3">
                  <c:v>133.59259259259261</c:v>
                </c:pt>
                <c:pt idx="4">
                  <c:v>188.77335251445754</c:v>
                </c:pt>
                <c:pt idx="5">
                  <c:v>254.43473505960242</c:v>
                </c:pt>
                <c:pt idx="6">
                  <c:v>313.18518518518516</c:v>
                </c:pt>
              </c:numCache>
            </c:numRef>
          </c:xVal>
          <c:yVal>
            <c:numRef>
              <c:f>Sheet1!$R$73:$R$79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0">
                  <c:v>16</c:v>
                </c:pt>
                <c:pt idx="4" formatCode="0.000">
                  <c:v>45.254833995939038</c:v>
                </c:pt>
                <c:pt idx="5" formatCode="0.000">
                  <c:v>83.138438763306112</c:v>
                </c:pt>
                <c:pt idx="6" formatCode="0.000">
                  <c:v>127.99999999999997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6-0F49-B535-90F1AFEBB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622991"/>
        <c:axId val="1124966031"/>
      </c:scatterChart>
      <c:valAx>
        <c:axId val="1127622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0" i="0" u="none" strike="noStrike" baseline="0">
                    <a:effectLst/>
                  </a:rPr>
                  <a:t>2*S/t +Q</a:t>
                </a:r>
                <a:r>
                  <a:rPr lang="en-IN" sz="1000" b="0" i="0" u="none" strike="noStrike" baseline="0"/>
                  <a:t>  [m^3/s]]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4966031"/>
        <c:crosses val="autoZero"/>
        <c:crossBetween val="midCat"/>
      </c:valAx>
      <c:valAx>
        <c:axId val="112496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[m^3/s]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62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Muskingham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52577026599"/>
          <c:y val="0.10889882483282555"/>
          <c:w val="0.70895997375328079"/>
          <c:h val="0.68797300149039153"/>
        </c:manualLayout>
      </c:layout>
      <c:scatterChart>
        <c:scatterStyle val="smoothMarker"/>
        <c:varyColors val="0"/>
        <c:ser>
          <c:idx val="0"/>
          <c:order val="0"/>
          <c:tx>
            <c:v>inflow hydrograph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Sheet1!$W$29:$W$40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</c:numCache>
            </c:numRef>
          </c:xVal>
          <c:yVal>
            <c:numRef>
              <c:f>Sheet1!$X$29:$X$40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40</c:v>
                </c:pt>
                <c:pt idx="3">
                  <c:v>100</c:v>
                </c:pt>
                <c:pt idx="4">
                  <c:v>120</c:v>
                </c:pt>
                <c:pt idx="5">
                  <c:v>80</c:v>
                </c:pt>
                <c:pt idx="6">
                  <c:v>60</c:v>
                </c:pt>
                <c:pt idx="7">
                  <c:v>40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FA-2F4B-B490-681B0F9E8EBE}"/>
            </c:ext>
          </c:extLst>
        </c:ser>
        <c:ser>
          <c:idx val="1"/>
          <c:order val="1"/>
          <c:tx>
            <c:v>outflow hydrograph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Sheet1!$W$29:$W$40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</c:numCache>
            </c:numRef>
          </c:xVal>
          <c:yVal>
            <c:numRef>
              <c:f>Sheet1!$AB$29:$AB$40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20.72</c:v>
                </c:pt>
                <c:pt idx="3" formatCode="0.00">
                  <c:v>33.561120000000003</c:v>
                </c:pt>
                <c:pt idx="4" formatCode="0.00">
                  <c:v>71.088259520000008</c:v>
                </c:pt>
                <c:pt idx="5" formatCode="0.00">
                  <c:v>96.745363745920002</c:v>
                </c:pt>
                <c:pt idx="6" formatCode="0.00">
                  <c:v>86.748432230680322</c:v>
                </c:pt>
                <c:pt idx="7" formatCode="0.00">
                  <c:v>71.209800774883433</c:v>
                </c:pt>
                <c:pt idx="8" formatCode="0.00">
                  <c:v>53.199571145598014</c:v>
                </c:pt>
                <c:pt idx="9" formatCode="0.00">
                  <c:v>34.807008730936715</c:v>
                </c:pt>
                <c:pt idx="10" formatCode="0.00">
                  <c:v>26.603925893997776</c:v>
                </c:pt>
                <c:pt idx="11" formatCode="0.00">
                  <c:v>22.945350948723011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FA-2F4B-B490-681B0F9E8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171615"/>
        <c:axId val="2062825343"/>
      </c:scatterChart>
      <c:valAx>
        <c:axId val="2063171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825343"/>
        <c:crosses val="autoZero"/>
        <c:crossBetween val="midCat"/>
      </c:valAx>
      <c:valAx>
        <c:axId val="206282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[m^3/s]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171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643207616563854"/>
          <c:y val="0.24945495192497924"/>
          <c:w val="0.27356792383436146"/>
          <c:h val="0.14133264748941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9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157538</xdr:colOff>
      <xdr:row>2</xdr:row>
      <xdr:rowOff>52414</xdr:rowOff>
    </xdr:from>
    <xdr:to>
      <xdr:col>14</xdr:col>
      <xdr:colOff>708717</xdr:colOff>
      <xdr:row>19</xdr:row>
      <xdr:rowOff>174335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514CD8-C77F-CD41-9580-342D51537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299054</xdr:colOff>
      <xdr:row>27</xdr:row>
      <xdr:rowOff>138746</xdr:rowOff>
    </xdr:from>
    <xdr:to>
      <xdr:col>16</xdr:col>
      <xdr:colOff>447040</xdr:colOff>
      <xdr:row>42</xdr:row>
      <xdr:rowOff>40640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5CA46B-579C-3342-B633-1810C958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264160</xdr:colOff>
      <xdr:row>43</xdr:row>
      <xdr:rowOff>198120</xdr:rowOff>
    </xdr:from>
    <xdr:to>
      <xdr:col>23</xdr:col>
      <xdr:colOff>944880</xdr:colOff>
      <xdr:row>57</xdr:row>
      <xdr:rowOff>96520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3C65B0-31D9-9444-AAC7-C817B64D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0</xdr:colOff>
      <xdr:row>74</xdr:row>
      <xdr:rowOff>205518</xdr:rowOff>
    </xdr:from>
    <xdr:to>
      <xdr:col>17</xdr:col>
      <xdr:colOff>139700</xdr:colOff>
      <xdr:row>75</xdr:row>
      <xdr:rowOff>0</xdr:rowOff>
    </xdr:to>
    <xdr:pic>
      <xdr:nvPicPr>
        <xdr:cNvPr id="5" name="Picture 4" descr="page2image18423296">
          <a:extLst>
            <a:ext uri="{FF2B5EF4-FFF2-40B4-BE49-F238E27FC236}">
              <a16:creationId xmlns:a16="http://schemas.microsoft.com/office/drawing/2014/main" id="{876B4AD3-0C25-A244-B811-AB79C7A33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6000" y="14224000"/>
          <a:ext cx="46736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213360</xdr:colOff>
      <xdr:row>77</xdr:row>
      <xdr:rowOff>193040</xdr:rowOff>
    </xdr:from>
    <xdr:to>
      <xdr:col>23</xdr:col>
      <xdr:colOff>668020</xdr:colOff>
      <xdr:row>77</xdr:row>
      <xdr:rowOff>193040</xdr:rowOff>
    </xdr:to>
    <xdr:pic>
      <xdr:nvPicPr>
        <xdr:cNvPr id="7" name="Picture 6" descr="page2image18416384">
          <a:extLst>
            <a:ext uri="{FF2B5EF4-FFF2-40B4-BE49-F238E27FC236}">
              <a16:creationId xmlns:a16="http://schemas.microsoft.com/office/drawing/2014/main" id="{E43BE720-59B2-1F47-9CE9-F6E905DE4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77440" y="15839440"/>
          <a:ext cx="37465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203200</xdr:colOff>
      <xdr:row>76</xdr:row>
      <xdr:rowOff>0</xdr:rowOff>
    </xdr:from>
    <xdr:to>
      <xdr:col>26</xdr:col>
      <xdr:colOff>444230</xdr:colOff>
      <xdr:row>76</xdr:row>
      <xdr:rowOff>0</xdr:rowOff>
    </xdr:to>
    <xdr:pic>
      <xdr:nvPicPr>
        <xdr:cNvPr id="8" name="Picture 7" descr="page2image18424640">
          <a:extLst>
            <a:ext uri="{FF2B5EF4-FFF2-40B4-BE49-F238E27FC236}">
              <a16:creationId xmlns:a16="http://schemas.microsoft.com/office/drawing/2014/main" id="{F77315B1-A3E4-2649-9F18-74BC7CFDF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94200" y="14427200"/>
          <a:ext cx="37592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673100</xdr:colOff>
      <xdr:row>76</xdr:row>
      <xdr:rowOff>0</xdr:rowOff>
    </xdr:from>
    <xdr:to>
      <xdr:col>31</xdr:col>
      <xdr:colOff>304800</xdr:colOff>
      <xdr:row>76</xdr:row>
      <xdr:rowOff>0</xdr:rowOff>
    </xdr:to>
    <xdr:pic>
      <xdr:nvPicPr>
        <xdr:cNvPr id="9" name="Picture 8" descr="page2image18422912">
          <a:extLst>
            <a:ext uri="{FF2B5EF4-FFF2-40B4-BE49-F238E27FC236}">
              <a16:creationId xmlns:a16="http://schemas.microsoft.com/office/drawing/2014/main" id="{18E144D2-1AB0-5447-91DF-2B5A621BFB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66100" y="14427200"/>
          <a:ext cx="37592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223520</xdr:colOff>
      <xdr:row>56</xdr:row>
      <xdr:rowOff>45720</xdr:rowOff>
    </xdr:from>
    <xdr:to>
      <xdr:col>13</xdr:col>
      <xdr:colOff>812800</xdr:colOff>
      <xdr:row>69</xdr:row>
      <xdr:rowOff>147320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0B9774D-BBBA-884D-AB0C-35DEEB1FFC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640080</xdr:colOff>
      <xdr:row>84</xdr:row>
      <xdr:rowOff>127000</xdr:rowOff>
    </xdr:from>
    <xdr:to>
      <xdr:col>11</xdr:col>
      <xdr:colOff>548640</xdr:colOff>
      <xdr:row>98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D1970BE-291D-B249-B23A-DEFBBAA37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426720</xdr:colOff>
      <xdr:row>73</xdr:row>
      <xdr:rowOff>96520</xdr:rowOff>
    </xdr:from>
    <xdr:to>
      <xdr:col>26</xdr:col>
      <xdr:colOff>345440</xdr:colOff>
      <xdr:row>87</xdr:row>
      <xdr:rowOff>91440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C62FEDA-2FF3-FF4B-8AF7-C40B59D34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264160</xdr:colOff>
      <xdr:row>26</xdr:row>
      <xdr:rowOff>96520</xdr:rowOff>
    </xdr:from>
    <xdr:to>
      <xdr:col>35</xdr:col>
      <xdr:colOff>111760</xdr:colOff>
      <xdr:row>41</xdr:row>
      <xdr:rowOff>81280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B042940-BB7D-7B42-9824-6F8A04F2B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3DD76-B755-A54A-8113-E4A38A167852}">
  <sheetPr codeName="Sheet1"/>
  <dimension ref="A1:AE86"/>
  <sheetViews>
    <sheetView tabSelected="1" topLeftCell="Q45" zoomScale="241" workbookViewId="0">
      <selection activeCell="R46" sqref="R46"/>
    </sheetView>
  </sheetViews>
  <sheetFormatPr baseColWidth="10" defaultRowHeight="16"/>
  <cols>
    <col min="1" max="1" width="11.6640625" customWidth="1"/>
    <col min="2" max="2" width="13.83203125" customWidth="1"/>
    <col min="3" max="3" width="14" customWidth="1"/>
    <col min="4" max="4" width="13.33203125" customWidth="1"/>
    <col min="5" max="5" width="13.5" customWidth="1"/>
    <col min="6" max="6" width="15.33203125" customWidth="1"/>
    <col min="10" max="11" width="0" hidden="1" customWidth="1"/>
    <col min="13" max="13" width="9.33203125" customWidth="1"/>
    <col min="15" max="15" width="12.5" customWidth="1"/>
    <col min="16" max="16" width="12.6640625" customWidth="1"/>
    <col min="17" max="17" width="14" customWidth="1"/>
    <col min="18" max="18" width="15" customWidth="1"/>
    <col min="24" max="24" width="13.6640625" customWidth="1"/>
  </cols>
  <sheetData>
    <row r="1" spans="1:6" s="1" customFormat="1">
      <c r="C1" s="1" t="s">
        <v>0</v>
      </c>
    </row>
    <row r="2" spans="1:6">
      <c r="A2" s="2" t="s">
        <v>1</v>
      </c>
      <c r="B2" t="s">
        <v>2</v>
      </c>
      <c r="C2" t="s">
        <v>53</v>
      </c>
      <c r="D2" t="s">
        <v>49</v>
      </c>
      <c r="E2" t="s">
        <v>50</v>
      </c>
      <c r="F2" t="s">
        <v>9</v>
      </c>
    </row>
    <row r="3" spans="1:6">
      <c r="A3">
        <v>1</v>
      </c>
      <c r="B3" s="2">
        <v>90</v>
      </c>
      <c r="F3">
        <v>90</v>
      </c>
    </row>
    <row r="4" spans="1:6">
      <c r="A4" s="2">
        <v>2</v>
      </c>
      <c r="B4">
        <v>140</v>
      </c>
      <c r="C4" s="3">
        <f>0.0192*B4</f>
        <v>2.6879999999999997</v>
      </c>
      <c r="D4" s="3">
        <f>0.3566*B3</f>
        <v>32.093999999999994</v>
      </c>
      <c r="E4" s="3">
        <f>0.6242*F3</f>
        <v>56.177999999999997</v>
      </c>
      <c r="F4" s="3">
        <f>SUM(C4:E4)</f>
        <v>90.96</v>
      </c>
    </row>
    <row r="5" spans="1:6">
      <c r="A5">
        <v>3</v>
      </c>
      <c r="B5">
        <v>210</v>
      </c>
      <c r="C5" s="3">
        <f t="shared" ref="C5:C22" si="0">0.0192*B5</f>
        <v>4.032</v>
      </c>
      <c r="D5" s="3">
        <f t="shared" ref="D5:D22" si="1">0.3566*B4</f>
        <v>49.923999999999999</v>
      </c>
      <c r="E5" s="3">
        <f t="shared" ref="E5:E22" si="2">0.6242*F4</f>
        <v>56.777231999999991</v>
      </c>
      <c r="F5" s="3">
        <f>SUM(C5:E5)</f>
        <v>110.73323199999999</v>
      </c>
    </row>
    <row r="6" spans="1:6">
      <c r="A6">
        <v>4</v>
      </c>
      <c r="B6">
        <v>320</v>
      </c>
      <c r="C6" s="3">
        <f t="shared" si="0"/>
        <v>6.1439999999999992</v>
      </c>
      <c r="D6" s="3">
        <f t="shared" si="1"/>
        <v>74.885999999999996</v>
      </c>
      <c r="E6" s="3">
        <f t="shared" si="2"/>
        <v>69.119683414399987</v>
      </c>
      <c r="F6" s="3">
        <f t="shared" ref="F6:F22" si="3">SUM(C6:E6)</f>
        <v>150.14968341439999</v>
      </c>
    </row>
    <row r="7" spans="1:6">
      <c r="A7">
        <v>5</v>
      </c>
      <c r="B7">
        <v>440</v>
      </c>
      <c r="C7" s="3">
        <f t="shared" si="0"/>
        <v>8.4479999999999986</v>
      </c>
      <c r="D7" s="3">
        <f t="shared" si="1"/>
        <v>114.11199999999999</v>
      </c>
      <c r="E7" s="3">
        <f t="shared" si="2"/>
        <v>93.723432387268474</v>
      </c>
      <c r="F7" s="3">
        <f t="shared" si="3"/>
        <v>216.28343238726848</v>
      </c>
    </row>
    <row r="8" spans="1:6">
      <c r="A8">
        <v>6</v>
      </c>
      <c r="B8">
        <v>550</v>
      </c>
      <c r="C8" s="3">
        <f t="shared" si="0"/>
        <v>10.559999999999999</v>
      </c>
      <c r="D8" s="3">
        <f t="shared" si="1"/>
        <v>156.904</v>
      </c>
      <c r="E8" s="3">
        <f t="shared" si="2"/>
        <v>135.00411849613297</v>
      </c>
      <c r="F8" s="3">
        <f t="shared" si="3"/>
        <v>302.468118496133</v>
      </c>
    </row>
    <row r="9" spans="1:6">
      <c r="A9">
        <v>7</v>
      </c>
      <c r="B9">
        <v>640</v>
      </c>
      <c r="C9" s="3">
        <f t="shared" si="0"/>
        <v>12.287999999999998</v>
      </c>
      <c r="D9" s="3">
        <f t="shared" si="1"/>
        <v>196.13</v>
      </c>
      <c r="E9" s="3">
        <f t="shared" si="2"/>
        <v>188.80059956528621</v>
      </c>
      <c r="F9" s="3">
        <f t="shared" si="3"/>
        <v>397.21859956528624</v>
      </c>
    </row>
    <row r="10" spans="1:6">
      <c r="A10">
        <v>8</v>
      </c>
      <c r="B10">
        <v>680</v>
      </c>
      <c r="C10" s="3">
        <f t="shared" si="0"/>
        <v>13.055999999999999</v>
      </c>
      <c r="D10" s="3">
        <f t="shared" si="1"/>
        <v>228.22399999999999</v>
      </c>
      <c r="E10" s="3">
        <f t="shared" si="2"/>
        <v>247.94384984865167</v>
      </c>
      <c r="F10" s="3">
        <f t="shared" si="3"/>
        <v>489.22384984865164</v>
      </c>
    </row>
    <row r="11" spans="1:6">
      <c r="A11">
        <v>9</v>
      </c>
      <c r="B11">
        <v>690</v>
      </c>
      <c r="C11" s="3">
        <f t="shared" si="0"/>
        <v>13.247999999999999</v>
      </c>
      <c r="D11" s="3">
        <f t="shared" si="1"/>
        <v>242.48799999999997</v>
      </c>
      <c r="E11" s="3">
        <f t="shared" si="2"/>
        <v>305.37352707552833</v>
      </c>
      <c r="F11" s="3">
        <f t="shared" si="3"/>
        <v>561.10952707552826</v>
      </c>
    </row>
    <row r="12" spans="1:6">
      <c r="A12">
        <v>10</v>
      </c>
      <c r="B12">
        <v>650</v>
      </c>
      <c r="C12" s="3">
        <f t="shared" si="0"/>
        <v>12.479999999999999</v>
      </c>
      <c r="D12" s="3">
        <f t="shared" si="1"/>
        <v>246.05399999999997</v>
      </c>
      <c r="E12" s="3">
        <f t="shared" si="2"/>
        <v>350.2445668005447</v>
      </c>
      <c r="F12" s="3">
        <f t="shared" si="3"/>
        <v>608.7785668005447</v>
      </c>
    </row>
    <row r="13" spans="1:6">
      <c r="A13">
        <v>11</v>
      </c>
      <c r="B13">
        <v>570</v>
      </c>
      <c r="C13" s="3">
        <f t="shared" si="0"/>
        <v>10.943999999999999</v>
      </c>
      <c r="D13" s="3">
        <f t="shared" si="1"/>
        <v>231.79</v>
      </c>
      <c r="E13" s="3">
        <f t="shared" si="2"/>
        <v>379.9995813969</v>
      </c>
      <c r="F13" s="3">
        <f t="shared" si="3"/>
        <v>622.73358139690004</v>
      </c>
    </row>
    <row r="14" spans="1:6">
      <c r="A14">
        <v>12</v>
      </c>
      <c r="B14">
        <v>470</v>
      </c>
      <c r="C14" s="3">
        <f t="shared" si="0"/>
        <v>9.0239999999999991</v>
      </c>
      <c r="D14" s="3">
        <f t="shared" si="1"/>
        <v>203.26199999999997</v>
      </c>
      <c r="E14" s="3">
        <f t="shared" si="2"/>
        <v>388.71030150794496</v>
      </c>
      <c r="F14" s="3">
        <f t="shared" si="3"/>
        <v>600.99630150794496</v>
      </c>
    </row>
    <row r="15" spans="1:6">
      <c r="A15">
        <v>13</v>
      </c>
      <c r="B15">
        <v>390</v>
      </c>
      <c r="C15" s="3">
        <f t="shared" si="0"/>
        <v>7.4879999999999995</v>
      </c>
      <c r="D15" s="3">
        <f t="shared" si="1"/>
        <v>167.60199999999998</v>
      </c>
      <c r="E15" s="3">
        <f t="shared" si="2"/>
        <v>375.14189140125922</v>
      </c>
      <c r="F15" s="3">
        <f t="shared" si="3"/>
        <v>550.23189140125919</v>
      </c>
    </row>
    <row r="16" spans="1:6">
      <c r="A16">
        <v>14</v>
      </c>
      <c r="B16">
        <v>310</v>
      </c>
      <c r="C16" s="3">
        <f t="shared" si="0"/>
        <v>5.9519999999999991</v>
      </c>
      <c r="D16" s="3">
        <f t="shared" si="1"/>
        <v>139.07399999999998</v>
      </c>
      <c r="E16" s="3">
        <f t="shared" si="2"/>
        <v>343.45474661266599</v>
      </c>
      <c r="F16" s="3">
        <f t="shared" si="3"/>
        <v>488.48074661266594</v>
      </c>
    </row>
    <row r="17" spans="1:31">
      <c r="A17">
        <v>15</v>
      </c>
      <c r="B17">
        <v>240</v>
      </c>
      <c r="C17" s="3">
        <f t="shared" si="0"/>
        <v>4.6079999999999997</v>
      </c>
      <c r="D17" s="3">
        <f t="shared" si="1"/>
        <v>110.54599999999999</v>
      </c>
      <c r="E17" s="3">
        <f t="shared" si="2"/>
        <v>304.90968203562608</v>
      </c>
      <c r="F17" s="3">
        <f t="shared" si="3"/>
        <v>420.06368203562607</v>
      </c>
    </row>
    <row r="18" spans="1:31">
      <c r="A18">
        <v>16</v>
      </c>
      <c r="B18">
        <v>180</v>
      </c>
      <c r="C18" s="3">
        <f t="shared" si="0"/>
        <v>3.4559999999999995</v>
      </c>
      <c r="D18" s="3">
        <f t="shared" si="1"/>
        <v>85.583999999999989</v>
      </c>
      <c r="E18" s="3">
        <f t="shared" si="2"/>
        <v>262.20375032663776</v>
      </c>
      <c r="F18" s="3">
        <f t="shared" si="3"/>
        <v>351.24375032663772</v>
      </c>
    </row>
    <row r="19" spans="1:31">
      <c r="A19">
        <v>17</v>
      </c>
      <c r="B19">
        <v>130</v>
      </c>
      <c r="C19" s="3">
        <f t="shared" si="0"/>
        <v>2.496</v>
      </c>
      <c r="D19" s="3">
        <f t="shared" si="1"/>
        <v>64.187999999999988</v>
      </c>
      <c r="E19" s="3">
        <f t="shared" si="2"/>
        <v>219.24634895388726</v>
      </c>
      <c r="F19" s="3">
        <f t="shared" si="3"/>
        <v>285.93034895388723</v>
      </c>
    </row>
    <row r="20" spans="1:31">
      <c r="A20">
        <v>18</v>
      </c>
      <c r="B20">
        <v>100</v>
      </c>
      <c r="C20" s="3">
        <f t="shared" si="0"/>
        <v>1.92</v>
      </c>
      <c r="D20" s="3">
        <f t="shared" si="1"/>
        <v>46.357999999999997</v>
      </c>
      <c r="E20" s="3">
        <f t="shared" si="2"/>
        <v>178.4777238170164</v>
      </c>
      <c r="F20" s="3">
        <f t="shared" si="3"/>
        <v>226.75572381701639</v>
      </c>
    </row>
    <row r="21" spans="1:31">
      <c r="A21">
        <v>19</v>
      </c>
      <c r="B21">
        <v>90</v>
      </c>
      <c r="C21" s="3">
        <f t="shared" si="0"/>
        <v>1.7279999999999998</v>
      </c>
      <c r="D21" s="3">
        <f t="shared" si="1"/>
        <v>35.659999999999997</v>
      </c>
      <c r="E21" s="3">
        <f t="shared" si="2"/>
        <v>141.54092280658162</v>
      </c>
      <c r="F21" s="3">
        <f t="shared" si="3"/>
        <v>178.92892280658162</v>
      </c>
    </row>
    <row r="22" spans="1:31">
      <c r="A22">
        <v>20</v>
      </c>
      <c r="B22">
        <v>85</v>
      </c>
      <c r="C22" s="3">
        <f t="shared" si="0"/>
        <v>1.6319999999999999</v>
      </c>
      <c r="D22" s="3">
        <f t="shared" si="1"/>
        <v>32.093999999999994</v>
      </c>
      <c r="E22" s="3">
        <f t="shared" si="2"/>
        <v>111.68743361586824</v>
      </c>
      <c r="F22" s="3">
        <f t="shared" si="3"/>
        <v>145.41343361586823</v>
      </c>
    </row>
    <row r="24" spans="1:31">
      <c r="A24" t="s">
        <v>3</v>
      </c>
      <c r="B24" t="s">
        <v>4</v>
      </c>
      <c r="C24" t="s">
        <v>5</v>
      </c>
      <c r="D24" t="s">
        <v>6</v>
      </c>
      <c r="E24" t="s">
        <v>7</v>
      </c>
      <c r="F24" t="s">
        <v>8</v>
      </c>
    </row>
    <row r="25" spans="1:31">
      <c r="D25">
        <v>1.9199999999999998E-2</v>
      </c>
      <c r="E25">
        <v>0.35659999999999997</v>
      </c>
      <c r="F25">
        <v>0.62419999999999998</v>
      </c>
    </row>
    <row r="27" spans="1:31" s="1" customFormat="1">
      <c r="E27" s="1" t="s">
        <v>10</v>
      </c>
    </row>
    <row r="28" spans="1:31">
      <c r="A28" t="s">
        <v>11</v>
      </c>
      <c r="B28" t="s">
        <v>12</v>
      </c>
      <c r="C28" t="s">
        <v>13</v>
      </c>
      <c r="D28" t="s">
        <v>14</v>
      </c>
      <c r="E28" t="s">
        <v>15</v>
      </c>
      <c r="F28" t="s">
        <v>16</v>
      </c>
      <c r="V28" s="1" t="s">
        <v>44</v>
      </c>
      <c r="W28" t="s">
        <v>11</v>
      </c>
      <c r="X28" t="s">
        <v>36</v>
      </c>
      <c r="Y28" t="s">
        <v>48</v>
      </c>
      <c r="Z28" t="s">
        <v>49</v>
      </c>
      <c r="AA28" t="s">
        <v>50</v>
      </c>
      <c r="AB28" t="s">
        <v>51</v>
      </c>
    </row>
    <row r="29" spans="1:31">
      <c r="A29">
        <v>0</v>
      </c>
      <c r="B29" s="3">
        <f>J29-11/15</f>
        <v>14.266666666666667</v>
      </c>
      <c r="C29" s="3">
        <f>K29+11/15</f>
        <v>15.733333333333333</v>
      </c>
      <c r="I29" t="s">
        <v>6</v>
      </c>
      <c r="J29">
        <v>15</v>
      </c>
      <c r="K29">
        <v>15</v>
      </c>
      <c r="L29" t="s">
        <v>7</v>
      </c>
      <c r="M29" t="s">
        <v>8</v>
      </c>
      <c r="U29" t="s">
        <v>42</v>
      </c>
      <c r="V29" s="1"/>
      <c r="W29">
        <v>0</v>
      </c>
      <c r="X29">
        <v>20</v>
      </c>
      <c r="AB29">
        <v>20</v>
      </c>
      <c r="AE29" s="2"/>
    </row>
    <row r="30" spans="1:31">
      <c r="A30">
        <v>6</v>
      </c>
      <c r="B30" s="3">
        <f t="shared" ref="B30:B42" si="4">J30-11/15</f>
        <v>69.266666666666666</v>
      </c>
      <c r="C30" s="3">
        <f t="shared" ref="C30:C42" si="5">K30+11/15</f>
        <v>20.733333333333334</v>
      </c>
      <c r="D30">
        <f>3*((B30+B29)-(C30+C29))</f>
        <v>141.19999999999999</v>
      </c>
      <c r="E30" s="2">
        <f>F30*(B30-B29)+(1-F30)*(C30-C29)</f>
        <v>17.5</v>
      </c>
      <c r="F30">
        <f>H32</f>
        <v>0.25</v>
      </c>
      <c r="I30">
        <f>D30</f>
        <v>141.19999999999999</v>
      </c>
      <c r="J30">
        <v>70</v>
      </c>
      <c r="K30">
        <v>20</v>
      </c>
      <c r="L30" s="3">
        <f>B30-B29</f>
        <v>55</v>
      </c>
      <c r="M30" s="3">
        <f>C30-C29</f>
        <v>5.0000000000000018</v>
      </c>
      <c r="U30" t="s">
        <v>43</v>
      </c>
      <c r="V30" s="1"/>
      <c r="W30">
        <v>6</v>
      </c>
      <c r="X30">
        <v>20</v>
      </c>
      <c r="Y30">
        <f>0.036*X30</f>
        <v>0.72</v>
      </c>
      <c r="Z30">
        <f>0.518*X29</f>
        <v>10.36</v>
      </c>
      <c r="AA30">
        <f>0.446*AB29</f>
        <v>8.92</v>
      </c>
      <c r="AB30">
        <f>Y30+Z30+AA30</f>
        <v>20</v>
      </c>
    </row>
    <row r="31" spans="1:31">
      <c r="A31">
        <v>12</v>
      </c>
      <c r="B31" s="3">
        <f t="shared" si="4"/>
        <v>199.26666666666668</v>
      </c>
      <c r="C31" s="3">
        <f t="shared" si="5"/>
        <v>45.733333333333334</v>
      </c>
      <c r="D31">
        <f t="shared" ref="D31:D42" si="6">3*((B31+B30)-(C31+C30))</f>
        <v>606.20000000000005</v>
      </c>
      <c r="E31" s="2">
        <f t="shared" ref="E31:E42" si="7">F31*(B31-B30)+(1-F31)*(C31-C30)</f>
        <v>51.25</v>
      </c>
      <c r="F31">
        <f>F30</f>
        <v>0.25</v>
      </c>
      <c r="H31" t="s">
        <v>16</v>
      </c>
      <c r="I31">
        <f t="shared" ref="I31:I42" si="8">D31</f>
        <v>606.20000000000005</v>
      </c>
      <c r="J31">
        <v>200</v>
      </c>
      <c r="K31">
        <v>45</v>
      </c>
      <c r="L31" s="3">
        <f t="shared" ref="L31:L42" si="9">B31-B30</f>
        <v>130</v>
      </c>
      <c r="M31" s="3">
        <f t="shared" ref="M31:M42" si="10">C31-C30</f>
        <v>25</v>
      </c>
      <c r="V31" s="1"/>
      <c r="W31">
        <v>12</v>
      </c>
      <c r="X31">
        <v>40</v>
      </c>
      <c r="Y31">
        <f t="shared" ref="Y31:Y40" si="11">0.036*X31</f>
        <v>1.44</v>
      </c>
      <c r="Z31">
        <f t="shared" ref="Z31:Z40" si="12">0.518*X30</f>
        <v>10.36</v>
      </c>
      <c r="AA31">
        <f>0.446*AB30</f>
        <v>8.92</v>
      </c>
      <c r="AB31">
        <f t="shared" ref="AB31:AB40" si="13">Y31+Z31+AA31</f>
        <v>20.72</v>
      </c>
      <c r="AE31" s="2"/>
    </row>
    <row r="32" spans="1:31">
      <c r="A32">
        <v>18</v>
      </c>
      <c r="B32" s="3">
        <f t="shared" si="4"/>
        <v>249.26666666666668</v>
      </c>
      <c r="C32" s="3">
        <f t="shared" si="5"/>
        <v>130.73333333333332</v>
      </c>
      <c r="D32">
        <f t="shared" si="6"/>
        <v>816.20000000000016</v>
      </c>
      <c r="E32" s="2">
        <f t="shared" si="7"/>
        <v>76.249999999999986</v>
      </c>
      <c r="F32">
        <f t="shared" ref="F32:F42" si="14">F31</f>
        <v>0.25</v>
      </c>
      <c r="H32">
        <v>0.25</v>
      </c>
      <c r="I32">
        <f t="shared" si="8"/>
        <v>816.20000000000016</v>
      </c>
      <c r="J32">
        <v>250</v>
      </c>
      <c r="K32">
        <v>130</v>
      </c>
      <c r="L32" s="3">
        <f t="shared" si="9"/>
        <v>50</v>
      </c>
      <c r="M32" s="3">
        <f t="shared" si="10"/>
        <v>84.999999999999986</v>
      </c>
      <c r="V32" s="1"/>
      <c r="W32">
        <v>18</v>
      </c>
      <c r="X32">
        <v>100</v>
      </c>
      <c r="Y32">
        <f t="shared" si="11"/>
        <v>3.5999999999999996</v>
      </c>
      <c r="Z32">
        <f t="shared" si="12"/>
        <v>20.72</v>
      </c>
      <c r="AA32" s="4">
        <f>0.446*AB31</f>
        <v>9.2411200000000004</v>
      </c>
      <c r="AB32" s="4">
        <f t="shared" si="13"/>
        <v>33.561120000000003</v>
      </c>
    </row>
    <row r="33" spans="1:28">
      <c r="A33">
        <v>24</v>
      </c>
      <c r="B33" s="3">
        <f t="shared" si="4"/>
        <v>224.26666666666668</v>
      </c>
      <c r="C33" s="3">
        <f t="shared" si="5"/>
        <v>190.73333333333332</v>
      </c>
      <c r="D33">
        <f t="shared" si="6"/>
        <v>456.20000000000016</v>
      </c>
      <c r="E33" s="2">
        <f t="shared" si="7"/>
        <v>38.75</v>
      </c>
      <c r="F33">
        <f t="shared" si="14"/>
        <v>0.25</v>
      </c>
      <c r="I33">
        <f t="shared" si="8"/>
        <v>456.20000000000016</v>
      </c>
      <c r="J33">
        <v>225</v>
      </c>
      <c r="K33">
        <v>190</v>
      </c>
      <c r="L33" s="3">
        <f t="shared" si="9"/>
        <v>-25</v>
      </c>
      <c r="M33" s="3">
        <f t="shared" si="10"/>
        <v>60</v>
      </c>
      <c r="V33" s="1"/>
      <c r="W33">
        <v>24</v>
      </c>
      <c r="X33">
        <v>120</v>
      </c>
      <c r="Y33">
        <f t="shared" si="11"/>
        <v>4.3199999999999994</v>
      </c>
      <c r="Z33">
        <f t="shared" si="12"/>
        <v>51.800000000000004</v>
      </c>
      <c r="AA33" s="4">
        <f t="shared" ref="AA33:AA40" si="15">0.446*AB32</f>
        <v>14.968259520000002</v>
      </c>
      <c r="AB33" s="4">
        <f t="shared" si="13"/>
        <v>71.088259520000008</v>
      </c>
    </row>
    <row r="34" spans="1:28">
      <c r="A34">
        <v>30</v>
      </c>
      <c r="B34" s="3">
        <f t="shared" si="4"/>
        <v>179.26666666666668</v>
      </c>
      <c r="C34" s="3">
        <f t="shared" si="5"/>
        <v>205.73333333333332</v>
      </c>
      <c r="D34">
        <f t="shared" si="6"/>
        <v>21.200000000000159</v>
      </c>
      <c r="E34" s="2">
        <f t="shared" si="7"/>
        <v>0</v>
      </c>
      <c r="F34">
        <f t="shared" si="14"/>
        <v>0.25</v>
      </c>
      <c r="I34">
        <f t="shared" si="8"/>
        <v>21.200000000000159</v>
      </c>
      <c r="J34">
        <v>180</v>
      </c>
      <c r="K34">
        <v>205</v>
      </c>
      <c r="L34" s="3">
        <f t="shared" si="9"/>
        <v>-45</v>
      </c>
      <c r="M34" s="3">
        <f t="shared" si="10"/>
        <v>15</v>
      </c>
      <c r="O34" t="s">
        <v>16</v>
      </c>
      <c r="V34" s="1"/>
      <c r="W34">
        <v>30</v>
      </c>
      <c r="X34">
        <v>80</v>
      </c>
      <c r="Y34">
        <f t="shared" si="11"/>
        <v>2.88</v>
      </c>
      <c r="Z34">
        <f t="shared" si="12"/>
        <v>62.160000000000004</v>
      </c>
      <c r="AA34" s="4">
        <f t="shared" si="15"/>
        <v>31.705363745920003</v>
      </c>
      <c r="AB34" s="4">
        <f t="shared" si="13"/>
        <v>96.745363745920002</v>
      </c>
    </row>
    <row r="35" spans="1:28">
      <c r="A35">
        <v>36</v>
      </c>
      <c r="B35" s="3">
        <f t="shared" si="4"/>
        <v>134.26666666666668</v>
      </c>
      <c r="C35" s="3">
        <f t="shared" si="5"/>
        <v>185.73333333333332</v>
      </c>
      <c r="D35">
        <f t="shared" si="6"/>
        <v>-233.79999999999984</v>
      </c>
      <c r="E35" s="2">
        <f t="shared" si="7"/>
        <v>-26.25</v>
      </c>
      <c r="F35">
        <f t="shared" si="14"/>
        <v>0.25</v>
      </c>
      <c r="I35">
        <f t="shared" si="8"/>
        <v>-233.79999999999984</v>
      </c>
      <c r="J35">
        <v>135</v>
      </c>
      <c r="K35">
        <v>185</v>
      </c>
      <c r="L35" s="3">
        <f t="shared" si="9"/>
        <v>-45</v>
      </c>
      <c r="M35" s="3">
        <f t="shared" si="10"/>
        <v>-20</v>
      </c>
      <c r="O35">
        <v>0.03</v>
      </c>
      <c r="V35" s="1"/>
      <c r="W35">
        <v>36</v>
      </c>
      <c r="X35">
        <v>60</v>
      </c>
      <c r="Y35">
        <f t="shared" si="11"/>
        <v>2.1599999999999997</v>
      </c>
      <c r="Z35">
        <f t="shared" si="12"/>
        <v>41.44</v>
      </c>
      <c r="AA35" s="4">
        <f t="shared" si="15"/>
        <v>43.148432230680321</v>
      </c>
      <c r="AB35" s="4">
        <f t="shared" si="13"/>
        <v>86.748432230680322</v>
      </c>
    </row>
    <row r="36" spans="1:28">
      <c r="A36">
        <v>42</v>
      </c>
      <c r="B36" s="3">
        <f t="shared" si="4"/>
        <v>94.266666666666666</v>
      </c>
      <c r="C36" s="3">
        <f t="shared" si="5"/>
        <v>155.73333333333332</v>
      </c>
      <c r="D36">
        <f t="shared" si="6"/>
        <v>-338.79999999999984</v>
      </c>
      <c r="E36" s="2">
        <f t="shared" si="7"/>
        <v>-32.5</v>
      </c>
      <c r="F36">
        <f t="shared" si="14"/>
        <v>0.25</v>
      </c>
      <c r="I36">
        <f t="shared" si="8"/>
        <v>-338.79999999999984</v>
      </c>
      <c r="J36">
        <v>95</v>
      </c>
      <c r="K36">
        <v>155</v>
      </c>
      <c r="L36" s="3">
        <f t="shared" si="9"/>
        <v>-40.000000000000014</v>
      </c>
      <c r="M36" s="3">
        <f t="shared" si="10"/>
        <v>-30</v>
      </c>
      <c r="O36">
        <v>13</v>
      </c>
      <c r="V36" s="1"/>
      <c r="W36">
        <v>42</v>
      </c>
      <c r="X36">
        <v>40</v>
      </c>
      <c r="Y36">
        <f t="shared" si="11"/>
        <v>1.44</v>
      </c>
      <c r="Z36">
        <f t="shared" si="12"/>
        <v>31.080000000000002</v>
      </c>
      <c r="AA36" s="4">
        <f t="shared" si="15"/>
        <v>38.689800774883423</v>
      </c>
      <c r="AB36" s="4">
        <f t="shared" si="13"/>
        <v>71.209800774883433</v>
      </c>
    </row>
    <row r="37" spans="1:28">
      <c r="A37">
        <v>48</v>
      </c>
      <c r="B37" s="3">
        <f t="shared" si="4"/>
        <v>69.266666666666666</v>
      </c>
      <c r="C37" s="3">
        <f t="shared" si="5"/>
        <v>120.73333333333333</v>
      </c>
      <c r="D37">
        <f t="shared" si="6"/>
        <v>-338.79999999999995</v>
      </c>
      <c r="E37" s="2">
        <f t="shared" si="7"/>
        <v>-32.499999999999986</v>
      </c>
      <c r="F37">
        <f t="shared" si="14"/>
        <v>0.25</v>
      </c>
      <c r="I37">
        <f t="shared" si="8"/>
        <v>-338.79999999999995</v>
      </c>
      <c r="J37">
        <v>70</v>
      </c>
      <c r="K37">
        <v>120</v>
      </c>
      <c r="L37" s="3">
        <f t="shared" si="9"/>
        <v>-25</v>
      </c>
      <c r="M37" s="3">
        <f t="shared" si="10"/>
        <v>-34.999999999999986</v>
      </c>
      <c r="V37" s="1"/>
      <c r="W37">
        <v>48</v>
      </c>
      <c r="X37">
        <v>20</v>
      </c>
      <c r="Y37">
        <f t="shared" si="11"/>
        <v>0.72</v>
      </c>
      <c r="Z37">
        <f t="shared" si="12"/>
        <v>20.72</v>
      </c>
      <c r="AA37" s="4">
        <f t="shared" si="15"/>
        <v>31.759571145598013</v>
      </c>
      <c r="AB37" s="4">
        <f t="shared" si="13"/>
        <v>53.199571145598014</v>
      </c>
    </row>
    <row r="38" spans="1:28">
      <c r="A38">
        <v>54</v>
      </c>
      <c r="B38" s="3">
        <f t="shared" si="4"/>
        <v>49.266666666666666</v>
      </c>
      <c r="C38" s="3">
        <f t="shared" si="5"/>
        <v>85.733333333333334</v>
      </c>
      <c r="D38">
        <f t="shared" si="6"/>
        <v>-263.8</v>
      </c>
      <c r="E38" s="2">
        <f t="shared" si="7"/>
        <v>-31.25</v>
      </c>
      <c r="F38">
        <f t="shared" si="14"/>
        <v>0.25</v>
      </c>
      <c r="I38">
        <f t="shared" si="8"/>
        <v>-263.8</v>
      </c>
      <c r="J38">
        <v>50</v>
      </c>
      <c r="K38">
        <v>85</v>
      </c>
      <c r="L38" s="3">
        <f t="shared" si="9"/>
        <v>-20</v>
      </c>
      <c r="M38" s="3">
        <f t="shared" si="10"/>
        <v>-35</v>
      </c>
      <c r="V38" s="1"/>
      <c r="W38">
        <v>54</v>
      </c>
      <c r="X38">
        <v>20</v>
      </c>
      <c r="Y38">
        <f t="shared" si="11"/>
        <v>0.72</v>
      </c>
      <c r="Z38">
        <f t="shared" si="12"/>
        <v>10.36</v>
      </c>
      <c r="AA38" s="4">
        <f t="shared" si="15"/>
        <v>23.727008730936713</v>
      </c>
      <c r="AB38" s="4">
        <f t="shared" si="13"/>
        <v>34.807008730936715</v>
      </c>
    </row>
    <row r="39" spans="1:28">
      <c r="A39">
        <v>60</v>
      </c>
      <c r="B39" s="3">
        <f t="shared" si="4"/>
        <v>34.266666666666666</v>
      </c>
      <c r="C39" s="3">
        <f t="shared" si="5"/>
        <v>60.733333333333334</v>
      </c>
      <c r="D39">
        <f t="shared" si="6"/>
        <v>-188.8</v>
      </c>
      <c r="E39" s="2">
        <f t="shared" si="7"/>
        <v>-22.5</v>
      </c>
      <c r="F39">
        <f t="shared" si="14"/>
        <v>0.25</v>
      </c>
      <c r="I39">
        <f t="shared" si="8"/>
        <v>-188.8</v>
      </c>
      <c r="J39">
        <v>35</v>
      </c>
      <c r="K39">
        <v>60</v>
      </c>
      <c r="L39" s="3">
        <f t="shared" si="9"/>
        <v>-15</v>
      </c>
      <c r="M39" s="3">
        <f t="shared" si="10"/>
        <v>-25</v>
      </c>
      <c r="V39" s="1"/>
      <c r="W39">
        <v>60</v>
      </c>
      <c r="X39">
        <v>20</v>
      </c>
      <c r="Y39">
        <f t="shared" si="11"/>
        <v>0.72</v>
      </c>
      <c r="Z39">
        <f t="shared" si="12"/>
        <v>10.36</v>
      </c>
      <c r="AA39" s="4">
        <f t="shared" si="15"/>
        <v>15.523925893997776</v>
      </c>
      <c r="AB39" s="4">
        <f t="shared" si="13"/>
        <v>26.603925893997776</v>
      </c>
    </row>
    <row r="40" spans="1:28">
      <c r="A40">
        <v>66</v>
      </c>
      <c r="B40" s="3">
        <f t="shared" si="4"/>
        <v>24.266666666666666</v>
      </c>
      <c r="C40" s="3">
        <f t="shared" si="5"/>
        <v>40.733333333333334</v>
      </c>
      <c r="D40">
        <f t="shared" si="6"/>
        <v>-128.80000000000001</v>
      </c>
      <c r="E40" s="2">
        <f t="shared" si="7"/>
        <v>-17.5</v>
      </c>
      <c r="F40">
        <f t="shared" si="14"/>
        <v>0.25</v>
      </c>
      <c r="I40">
        <f t="shared" si="8"/>
        <v>-128.80000000000001</v>
      </c>
      <c r="J40">
        <v>25</v>
      </c>
      <c r="K40">
        <v>40</v>
      </c>
      <c r="L40" s="3">
        <f t="shared" si="9"/>
        <v>-10</v>
      </c>
      <c r="M40" s="3">
        <f t="shared" si="10"/>
        <v>-20</v>
      </c>
      <c r="V40" s="1"/>
      <c r="W40">
        <v>66</v>
      </c>
      <c r="X40">
        <v>20</v>
      </c>
      <c r="Y40">
        <f t="shared" si="11"/>
        <v>0.72</v>
      </c>
      <c r="Z40">
        <f t="shared" si="12"/>
        <v>10.36</v>
      </c>
      <c r="AA40" s="4">
        <f t="shared" si="15"/>
        <v>11.865350948723009</v>
      </c>
      <c r="AB40" s="4">
        <f t="shared" si="13"/>
        <v>22.945350948723011</v>
      </c>
    </row>
    <row r="41" spans="1:28">
      <c r="A41">
        <v>72</v>
      </c>
      <c r="B41" s="3">
        <f t="shared" si="4"/>
        <v>14.266666666666667</v>
      </c>
      <c r="C41" s="3">
        <f t="shared" si="5"/>
        <v>25.733333333333334</v>
      </c>
      <c r="D41">
        <f t="shared" si="6"/>
        <v>-83.800000000000011</v>
      </c>
      <c r="E41" s="2">
        <f t="shared" si="7"/>
        <v>-13.75</v>
      </c>
      <c r="F41">
        <f t="shared" si="14"/>
        <v>0.25</v>
      </c>
      <c r="I41">
        <f t="shared" si="8"/>
        <v>-83.800000000000011</v>
      </c>
      <c r="J41">
        <v>15</v>
      </c>
      <c r="K41">
        <v>25</v>
      </c>
      <c r="L41" s="3">
        <f t="shared" si="9"/>
        <v>-9.9999999999999982</v>
      </c>
      <c r="M41" s="3">
        <f t="shared" si="10"/>
        <v>-15</v>
      </c>
      <c r="V41" s="1"/>
    </row>
    <row r="42" spans="1:28">
      <c r="A42">
        <v>78</v>
      </c>
      <c r="B42" s="3">
        <f t="shared" si="4"/>
        <v>9.2666666666666675</v>
      </c>
      <c r="C42" s="3">
        <f t="shared" si="5"/>
        <v>15.733333333333333</v>
      </c>
      <c r="D42">
        <f t="shared" si="6"/>
        <v>-53.8</v>
      </c>
      <c r="E42" s="2">
        <f t="shared" si="7"/>
        <v>-8.7500000000000018</v>
      </c>
      <c r="F42">
        <f t="shared" si="14"/>
        <v>0.25</v>
      </c>
      <c r="I42">
        <f t="shared" si="8"/>
        <v>-53.8</v>
      </c>
      <c r="J42">
        <v>10</v>
      </c>
      <c r="K42">
        <v>15</v>
      </c>
      <c r="L42" s="3">
        <f t="shared" si="9"/>
        <v>-5</v>
      </c>
      <c r="M42" s="3">
        <f t="shared" si="10"/>
        <v>-10.000000000000002</v>
      </c>
      <c r="V42" s="1"/>
      <c r="W42" t="s">
        <v>45</v>
      </c>
      <c r="X42" t="s">
        <v>46</v>
      </c>
      <c r="Y42" t="s">
        <v>47</v>
      </c>
      <c r="Z42" t="s">
        <v>6</v>
      </c>
      <c r="AA42" t="s">
        <v>7</v>
      </c>
      <c r="AB42" t="s">
        <v>8</v>
      </c>
    </row>
    <row r="43" spans="1:28">
      <c r="V43" s="1"/>
      <c r="Z43">
        <v>3.5999999999999997E-2</v>
      </c>
      <c r="AA43">
        <v>0.51800000000000002</v>
      </c>
      <c r="AB43">
        <v>0.44600000000000001</v>
      </c>
    </row>
    <row r="44" spans="1:28" s="1" customFormat="1">
      <c r="E44" s="1" t="s">
        <v>17</v>
      </c>
    </row>
    <row r="45" spans="1:28">
      <c r="A45" t="s">
        <v>28</v>
      </c>
      <c r="B45" t="s">
        <v>11</v>
      </c>
      <c r="C45" t="s">
        <v>18</v>
      </c>
      <c r="D45" t="s">
        <v>22</v>
      </c>
      <c r="E45" t="s">
        <v>23</v>
      </c>
      <c r="F45" t="s">
        <v>24</v>
      </c>
      <c r="G45" t="s">
        <v>26</v>
      </c>
      <c r="N45" t="s">
        <v>19</v>
      </c>
      <c r="O45" t="s">
        <v>52</v>
      </c>
      <c r="P45" t="s">
        <v>20</v>
      </c>
      <c r="Q45" t="s">
        <v>25</v>
      </c>
      <c r="T45" t="s">
        <v>21</v>
      </c>
    </row>
    <row r="46" spans="1:28">
      <c r="A46">
        <v>1</v>
      </c>
      <c r="B46">
        <v>0</v>
      </c>
      <c r="C46">
        <v>30</v>
      </c>
      <c r="E46" s="4">
        <f>O46/(2*3600) - P46</f>
        <v>0</v>
      </c>
      <c r="G46">
        <v>0</v>
      </c>
      <c r="N46">
        <v>0</v>
      </c>
      <c r="O46">
        <f>0.161*N46*N46*1000000</f>
        <v>0</v>
      </c>
      <c r="P46" s="4">
        <f>50.55*SQRT(N46)</f>
        <v>0</v>
      </c>
      <c r="Q46" s="4">
        <f>O46/(7200) +P46</f>
        <v>0</v>
      </c>
    </row>
    <row r="47" spans="1:28">
      <c r="A47">
        <v>2</v>
      </c>
      <c r="B47">
        <v>4</v>
      </c>
      <c r="C47">
        <v>60</v>
      </c>
      <c r="D47">
        <f>C46+C47</f>
        <v>90</v>
      </c>
      <c r="E47" s="4">
        <f t="shared" ref="E47:E55" si="16">F47-2*G47</f>
        <v>-19.230156549981444</v>
      </c>
      <c r="F47" s="4">
        <f t="shared" ref="F47:F56" si="17">D47+E46</f>
        <v>90</v>
      </c>
      <c r="G47" s="3">
        <v>54.615078274990722</v>
      </c>
      <c r="H47" s="2"/>
      <c r="N47">
        <v>1</v>
      </c>
      <c r="O47">
        <f t="shared" ref="O47:O56" si="18">0.161*N47*N47*1000000</f>
        <v>161000</v>
      </c>
      <c r="P47" s="4">
        <f t="shared" ref="P47:P56" si="19">50.55*SQRT(N47)</f>
        <v>50.55</v>
      </c>
      <c r="Q47" s="4">
        <f t="shared" ref="Q47:Q56" si="20">O47/(7200) +P47</f>
        <v>72.911111111111111</v>
      </c>
    </row>
    <row r="48" spans="1:28">
      <c r="A48">
        <v>3</v>
      </c>
      <c r="B48">
        <v>8</v>
      </c>
      <c r="C48">
        <v>120</v>
      </c>
      <c r="D48">
        <f t="shared" ref="D48:D56" si="21">C47+C48</f>
        <v>180</v>
      </c>
      <c r="E48" s="4">
        <f t="shared" si="16"/>
        <v>17.870372131638618</v>
      </c>
      <c r="F48" s="4">
        <f t="shared" si="17"/>
        <v>160.76984345001856</v>
      </c>
      <c r="G48" s="3">
        <v>71.449735659189969</v>
      </c>
      <c r="N48">
        <v>2</v>
      </c>
      <c r="O48">
        <f t="shared" si="18"/>
        <v>644000</v>
      </c>
      <c r="P48" s="4">
        <f t="shared" si="19"/>
        <v>71.488495577959952</v>
      </c>
      <c r="Q48" s="4">
        <f t="shared" si="20"/>
        <v>160.93294002240441</v>
      </c>
    </row>
    <row r="49" spans="1:17">
      <c r="A49">
        <v>4</v>
      </c>
      <c r="B49">
        <v>12</v>
      </c>
      <c r="C49">
        <v>200</v>
      </c>
      <c r="D49">
        <f t="shared" si="21"/>
        <v>320</v>
      </c>
      <c r="E49" s="4">
        <f t="shared" si="16"/>
        <v>154.94484539227778</v>
      </c>
      <c r="F49" s="4">
        <f t="shared" si="17"/>
        <v>337.87037213163865</v>
      </c>
      <c r="G49" s="3">
        <v>91.462763369680431</v>
      </c>
      <c r="I49" t="s">
        <v>27</v>
      </c>
      <c r="N49">
        <v>3</v>
      </c>
      <c r="O49">
        <f t="shared" si="18"/>
        <v>1448999.9999999998</v>
      </c>
      <c r="P49" s="4">
        <f t="shared" si="19"/>
        <v>87.555168322606733</v>
      </c>
      <c r="Q49" s="4">
        <f t="shared" si="20"/>
        <v>288.80516832260673</v>
      </c>
    </row>
    <row r="50" spans="1:17">
      <c r="A50">
        <v>5</v>
      </c>
      <c r="B50">
        <v>16</v>
      </c>
      <c r="C50">
        <v>180</v>
      </c>
      <c r="D50">
        <f t="shared" si="21"/>
        <v>380</v>
      </c>
      <c r="E50" s="4">
        <f t="shared" si="16"/>
        <v>324.22946224724359</v>
      </c>
      <c r="F50" s="4">
        <f t="shared" si="17"/>
        <v>534.94484539227778</v>
      </c>
      <c r="G50" s="3">
        <v>105.3576915725171</v>
      </c>
      <c r="I50" s="3">
        <v>58.704208703624111</v>
      </c>
      <c r="N50">
        <v>4</v>
      </c>
      <c r="O50">
        <f t="shared" si="18"/>
        <v>2576000</v>
      </c>
      <c r="P50" s="4">
        <f t="shared" si="19"/>
        <v>101.1</v>
      </c>
      <c r="Q50" s="4">
        <f t="shared" si="20"/>
        <v>458.87777777777774</v>
      </c>
    </row>
    <row r="51" spans="1:17">
      <c r="A51">
        <v>6</v>
      </c>
      <c r="B51">
        <v>20</v>
      </c>
      <c r="C51">
        <v>130</v>
      </c>
      <c r="D51">
        <f t="shared" si="21"/>
        <v>310</v>
      </c>
      <c r="E51" s="4">
        <f t="shared" si="16"/>
        <v>412.39827985563647</v>
      </c>
      <c r="F51" s="4">
        <f t="shared" si="17"/>
        <v>634.22946224724365</v>
      </c>
      <c r="G51" s="3">
        <v>110.9155911958036</v>
      </c>
      <c r="N51">
        <v>5</v>
      </c>
      <c r="O51">
        <f t="shared" si="18"/>
        <v>4025000.0000000005</v>
      </c>
      <c r="P51" s="4">
        <f t="shared" si="19"/>
        <v>113.03323626261437</v>
      </c>
      <c r="Q51" s="4">
        <f t="shared" si="20"/>
        <v>672.06101404039214</v>
      </c>
    </row>
    <row r="52" spans="1:17">
      <c r="A52">
        <v>7</v>
      </c>
      <c r="B52">
        <v>24</v>
      </c>
      <c r="C52">
        <v>80</v>
      </c>
      <c r="D52">
        <f t="shared" si="21"/>
        <v>210</v>
      </c>
      <c r="E52" s="4">
        <f t="shared" si="16"/>
        <v>401.89149977128034</v>
      </c>
      <c r="F52" s="4">
        <f t="shared" si="17"/>
        <v>622.39827985563647</v>
      </c>
      <c r="G52" s="3">
        <v>110.25339004217805</v>
      </c>
      <c r="N52">
        <v>6</v>
      </c>
      <c r="O52">
        <f t="shared" si="18"/>
        <v>5795999.9999999991</v>
      </c>
      <c r="P52" s="4">
        <f t="shared" si="19"/>
        <v>123.82170649768963</v>
      </c>
      <c r="Q52" s="4">
        <f t="shared" si="20"/>
        <v>928.82170649768955</v>
      </c>
    </row>
    <row r="53" spans="1:17">
      <c r="A53">
        <v>8</v>
      </c>
      <c r="B53">
        <v>28</v>
      </c>
      <c r="C53">
        <v>40</v>
      </c>
      <c r="D53">
        <f t="shared" si="21"/>
        <v>120</v>
      </c>
      <c r="E53" s="4">
        <f t="shared" si="16"/>
        <v>312.63710141995932</v>
      </c>
      <c r="F53" s="4">
        <f t="shared" si="17"/>
        <v>521.89149977128034</v>
      </c>
      <c r="G53" s="3">
        <v>104.62719917566052</v>
      </c>
      <c r="I53" t="s">
        <v>29</v>
      </c>
      <c r="N53">
        <v>7</v>
      </c>
      <c r="O53">
        <f t="shared" si="18"/>
        <v>7889000</v>
      </c>
      <c r="P53" s="4">
        <f t="shared" si="19"/>
        <v>133.74272877431505</v>
      </c>
      <c r="Q53" s="4">
        <f t="shared" si="20"/>
        <v>1229.4371732187594</v>
      </c>
    </row>
    <row r="54" spans="1:17">
      <c r="A54">
        <v>9</v>
      </c>
      <c r="B54">
        <v>32</v>
      </c>
      <c r="C54">
        <v>25</v>
      </c>
      <c r="D54">
        <f t="shared" si="21"/>
        <v>65</v>
      </c>
      <c r="E54" s="4">
        <f t="shared" si="16"/>
        <v>188.37689259939106</v>
      </c>
      <c r="F54" s="4">
        <f t="shared" si="17"/>
        <v>377.63710141995932</v>
      </c>
      <c r="G54" s="3">
        <v>94.630104410284133</v>
      </c>
      <c r="I54">
        <v>110.916</v>
      </c>
      <c r="N54">
        <v>8</v>
      </c>
      <c r="O54">
        <f t="shared" si="18"/>
        <v>10304000</v>
      </c>
      <c r="P54" s="4">
        <f t="shared" si="19"/>
        <v>142.9769911559199</v>
      </c>
      <c r="Q54" s="4">
        <f t="shared" si="20"/>
        <v>1574.088102267031</v>
      </c>
    </row>
    <row r="55" spans="1:17">
      <c r="A55">
        <v>10</v>
      </c>
      <c r="B55">
        <v>36</v>
      </c>
      <c r="C55">
        <v>20</v>
      </c>
      <c r="D55">
        <f t="shared" si="21"/>
        <v>45</v>
      </c>
      <c r="E55" s="4">
        <f t="shared" si="16"/>
        <v>72.19449094199507</v>
      </c>
      <c r="F55" s="4">
        <f t="shared" si="17"/>
        <v>233.37689259939106</v>
      </c>
      <c r="G55" s="3">
        <v>80.591200828697993</v>
      </c>
      <c r="N55">
        <v>9</v>
      </c>
      <c r="O55">
        <f t="shared" si="18"/>
        <v>13041000</v>
      </c>
      <c r="P55" s="4">
        <f t="shared" si="19"/>
        <v>151.64999999999998</v>
      </c>
      <c r="Q55" s="4">
        <f t="shared" si="20"/>
        <v>1962.9</v>
      </c>
    </row>
    <row r="56" spans="1:17">
      <c r="A56">
        <v>11</v>
      </c>
      <c r="B56">
        <v>40</v>
      </c>
      <c r="C56">
        <v>15</v>
      </c>
      <c r="D56">
        <f t="shared" si="21"/>
        <v>35</v>
      </c>
      <c r="E56" s="4"/>
      <c r="F56" s="4">
        <f t="shared" si="17"/>
        <v>107.19449094199507</v>
      </c>
      <c r="G56" s="3">
        <v>58.704208703624111</v>
      </c>
      <c r="N56">
        <v>10</v>
      </c>
      <c r="O56">
        <f t="shared" si="18"/>
        <v>16100000.000000002</v>
      </c>
      <c r="P56" s="4">
        <f t="shared" si="19"/>
        <v>159.85313572151156</v>
      </c>
      <c r="Q56" s="4">
        <f t="shared" si="20"/>
        <v>2395.9642468326228</v>
      </c>
    </row>
    <row r="57" spans="1:17">
      <c r="E57" s="4"/>
      <c r="F57" s="4"/>
      <c r="P57" s="4"/>
    </row>
    <row r="58" spans="1:17" s="5" customFormat="1">
      <c r="E58" s="6"/>
      <c r="F58" s="6"/>
      <c r="P58" s="6"/>
    </row>
    <row r="59" spans="1:17">
      <c r="E59" s="4"/>
      <c r="F59" s="4"/>
      <c r="P59" s="4"/>
    </row>
    <row r="60" spans="1:17">
      <c r="E60" s="4"/>
      <c r="F60" s="4"/>
      <c r="P60" s="4"/>
    </row>
    <row r="61" spans="1:17">
      <c r="E61" s="4"/>
      <c r="F61" s="4"/>
      <c r="P61" s="4"/>
    </row>
    <row r="62" spans="1:17">
      <c r="E62" s="4"/>
      <c r="F62" s="4"/>
      <c r="L62" s="2"/>
      <c r="P62" s="4"/>
    </row>
    <row r="63" spans="1:17">
      <c r="E63" s="4"/>
      <c r="F63" s="4"/>
      <c r="P63" s="4"/>
    </row>
    <row r="64" spans="1:17">
      <c r="D64" s="4"/>
      <c r="L64" s="2"/>
    </row>
    <row r="65" spans="1:19">
      <c r="D65" s="4"/>
      <c r="L65" s="2"/>
    </row>
    <row r="66" spans="1:19">
      <c r="D66" s="4"/>
      <c r="L66" s="2"/>
    </row>
    <row r="67" spans="1:19">
      <c r="D67" s="4"/>
      <c r="L67" s="2"/>
    </row>
    <row r="68" spans="1:19">
      <c r="D68" s="4"/>
      <c r="L68" s="2"/>
    </row>
    <row r="69" spans="1:19">
      <c r="D69" s="4"/>
      <c r="L69" s="2"/>
    </row>
    <row r="71" spans="1:19" s="1" customFormat="1">
      <c r="E71" s="1" t="s">
        <v>30</v>
      </c>
      <c r="L71" s="7"/>
    </row>
    <row r="72" spans="1:19">
      <c r="A72" t="s">
        <v>37</v>
      </c>
      <c r="B72" t="s">
        <v>35</v>
      </c>
      <c r="C72" t="s">
        <v>36</v>
      </c>
      <c r="D72" t="s">
        <v>38</v>
      </c>
      <c r="E72" t="s">
        <v>39</v>
      </c>
      <c r="F72" t="s">
        <v>24</v>
      </c>
      <c r="G72" t="s">
        <v>26</v>
      </c>
      <c r="O72" t="s">
        <v>31</v>
      </c>
      <c r="P72" t="s">
        <v>32</v>
      </c>
      <c r="Q72" t="s">
        <v>33</v>
      </c>
      <c r="R72" t="s">
        <v>34</v>
      </c>
      <c r="S72" t="s">
        <v>25</v>
      </c>
    </row>
    <row r="73" spans="1:19">
      <c r="A73">
        <v>1</v>
      </c>
      <c r="B73">
        <v>0</v>
      </c>
      <c r="C73">
        <v>7</v>
      </c>
      <c r="E73">
        <v>36.610999999999997</v>
      </c>
      <c r="G73">
        <v>0</v>
      </c>
      <c r="M73" s="2"/>
      <c r="O73">
        <v>105</v>
      </c>
      <c r="P73">
        <v>24</v>
      </c>
      <c r="Q73">
        <f t="shared" ref="Q73:Q79" si="22">P73*10000</f>
        <v>240000</v>
      </c>
      <c r="R73">
        <v>0</v>
      </c>
      <c r="S73" s="3">
        <f>Q73/(10800) +R73</f>
        <v>22.222222222222221</v>
      </c>
    </row>
    <row r="74" spans="1:19">
      <c r="A74">
        <v>2</v>
      </c>
      <c r="B74">
        <v>6</v>
      </c>
      <c r="C74">
        <v>24</v>
      </c>
      <c r="D74">
        <f>C74+C73</f>
        <v>31</v>
      </c>
      <c r="E74" s="3">
        <f t="shared" ref="E74:E83" si="23">F74-2*G74</f>
        <v>67.61099999999999</v>
      </c>
      <c r="F74">
        <f t="shared" ref="F74:F83" si="24">D74+E73</f>
        <v>67.61099999999999</v>
      </c>
      <c r="G74">
        <v>0</v>
      </c>
      <c r="M74" s="2"/>
      <c r="O74">
        <v>108</v>
      </c>
      <c r="P74">
        <v>66</v>
      </c>
      <c r="Q74">
        <f t="shared" si="22"/>
        <v>660000</v>
      </c>
      <c r="R74">
        <v>0</v>
      </c>
      <c r="S74" s="3">
        <f t="shared" ref="S74:S79" si="25">Q74/(10800) +R74</f>
        <v>61.111111111111114</v>
      </c>
    </row>
    <row r="75" spans="1:19">
      <c r="A75">
        <v>3</v>
      </c>
      <c r="B75">
        <v>12</v>
      </c>
      <c r="C75">
        <v>60</v>
      </c>
      <c r="D75">
        <f t="shared" ref="D75:D82" si="26">C75+C74</f>
        <v>84</v>
      </c>
      <c r="E75" s="3">
        <f t="shared" si="23"/>
        <v>100.5055901317306</v>
      </c>
      <c r="F75" s="3">
        <f t="shared" si="24"/>
        <v>151.61099999999999</v>
      </c>
      <c r="G75" s="3">
        <v>25.552704934134695</v>
      </c>
      <c r="L75" t="s">
        <v>41</v>
      </c>
      <c r="M75" s="2"/>
      <c r="O75">
        <v>110</v>
      </c>
      <c r="P75">
        <v>99</v>
      </c>
      <c r="Q75">
        <f t="shared" si="22"/>
        <v>990000</v>
      </c>
      <c r="R75">
        <v>0</v>
      </c>
      <c r="S75" s="3">
        <f t="shared" si="25"/>
        <v>91.666666666666671</v>
      </c>
    </row>
    <row r="76" spans="1:19">
      <c r="A76">
        <v>4</v>
      </c>
      <c r="B76">
        <v>18</v>
      </c>
      <c r="C76">
        <v>75</v>
      </c>
      <c r="D76">
        <f t="shared" si="26"/>
        <v>135</v>
      </c>
      <c r="E76" s="3">
        <f t="shared" si="23"/>
        <v>91.070735722775225</v>
      </c>
      <c r="F76" s="3">
        <f t="shared" si="24"/>
        <v>235.5055901317306</v>
      </c>
      <c r="G76" s="3">
        <v>72.217427204477687</v>
      </c>
      <c r="L76" s="3">
        <v>3.4091872791517701E-2</v>
      </c>
      <c r="M76" s="2"/>
      <c r="O76">
        <v>111</v>
      </c>
      <c r="P76">
        <v>127</v>
      </c>
      <c r="Q76">
        <f t="shared" si="22"/>
        <v>1270000</v>
      </c>
      <c r="R76" s="3">
        <f>16*(O76-110)^(1.5)</f>
        <v>16</v>
      </c>
      <c r="S76" s="3">
        <f t="shared" si="25"/>
        <v>133.59259259259261</v>
      </c>
    </row>
    <row r="77" spans="1:19">
      <c r="A77">
        <v>5</v>
      </c>
      <c r="B77">
        <v>24</v>
      </c>
      <c r="C77">
        <v>62</v>
      </c>
      <c r="D77">
        <f t="shared" si="26"/>
        <v>137</v>
      </c>
      <c r="E77" s="3">
        <f t="shared" si="23"/>
        <v>92.21518898379523</v>
      </c>
      <c r="F77" s="3">
        <f t="shared" si="24"/>
        <v>228.07073572277523</v>
      </c>
      <c r="G77" s="3">
        <v>67.927773369489998</v>
      </c>
      <c r="M77" s="2"/>
      <c r="O77">
        <v>112</v>
      </c>
      <c r="P77">
        <v>155</v>
      </c>
      <c r="Q77">
        <f t="shared" si="22"/>
        <v>1550000</v>
      </c>
      <c r="R77" s="3">
        <f t="shared" ref="R77:R79" si="27">16*(O77-110)^(1.5)</f>
        <v>45.254833995939038</v>
      </c>
      <c r="S77" s="3">
        <f t="shared" si="25"/>
        <v>188.77335251445754</v>
      </c>
    </row>
    <row r="78" spans="1:19">
      <c r="A78">
        <v>6</v>
      </c>
      <c r="B78">
        <v>30</v>
      </c>
      <c r="C78">
        <v>36</v>
      </c>
      <c r="D78">
        <f t="shared" si="26"/>
        <v>98</v>
      </c>
      <c r="E78" s="3">
        <f t="shared" si="23"/>
        <v>98.041992097483373</v>
      </c>
      <c r="F78" s="3">
        <f t="shared" si="24"/>
        <v>190.21518898379523</v>
      </c>
      <c r="G78" s="3">
        <v>46.086598443155928</v>
      </c>
      <c r="O78">
        <v>113</v>
      </c>
      <c r="P78">
        <v>185</v>
      </c>
      <c r="Q78">
        <f t="shared" si="22"/>
        <v>1850000</v>
      </c>
      <c r="R78" s="3">
        <f t="shared" si="27"/>
        <v>83.138438763306112</v>
      </c>
      <c r="S78" s="3">
        <f t="shared" si="25"/>
        <v>254.43473505960242</v>
      </c>
    </row>
    <row r="79" spans="1:19">
      <c r="A79">
        <v>7</v>
      </c>
      <c r="B79">
        <v>36</v>
      </c>
      <c r="C79">
        <v>26</v>
      </c>
      <c r="D79">
        <f t="shared" si="26"/>
        <v>62</v>
      </c>
      <c r="E79" s="3">
        <f t="shared" si="23"/>
        <v>99.996962486063978</v>
      </c>
      <c r="F79" s="3">
        <f t="shared" si="24"/>
        <v>160.04199209748339</v>
      </c>
      <c r="G79" s="3">
        <v>30.022514805709704</v>
      </c>
      <c r="O79">
        <v>114</v>
      </c>
      <c r="P79">
        <v>200</v>
      </c>
      <c r="Q79">
        <f t="shared" si="22"/>
        <v>2000000</v>
      </c>
      <c r="R79" s="3">
        <f t="shared" si="27"/>
        <v>127.99999999999997</v>
      </c>
      <c r="S79" s="3">
        <f t="shared" si="25"/>
        <v>313.18518518518516</v>
      </c>
    </row>
    <row r="80" spans="1:19">
      <c r="A80">
        <v>8</v>
      </c>
      <c r="B80">
        <v>42</v>
      </c>
      <c r="C80">
        <v>18</v>
      </c>
      <c r="D80">
        <f t="shared" si="26"/>
        <v>44</v>
      </c>
      <c r="E80" s="3">
        <f t="shared" si="23"/>
        <v>100.96488493001661</v>
      </c>
      <c r="F80" s="3">
        <f t="shared" si="24"/>
        <v>143.99696248606398</v>
      </c>
      <c r="G80" s="3">
        <v>21.516038778023685</v>
      </c>
    </row>
    <row r="81" spans="1:18">
      <c r="A81">
        <v>9</v>
      </c>
      <c r="B81">
        <v>48</v>
      </c>
      <c r="C81">
        <v>12</v>
      </c>
      <c r="D81">
        <f t="shared" si="26"/>
        <v>30</v>
      </c>
      <c r="E81" s="3">
        <f t="shared" si="23"/>
        <v>100.97039729750779</v>
      </c>
      <c r="F81" s="3">
        <f t="shared" si="24"/>
        <v>130.96488493001661</v>
      </c>
      <c r="G81" s="3">
        <v>14.997243816254413</v>
      </c>
      <c r="P81" t="s">
        <v>54</v>
      </c>
      <c r="Q81">
        <v>106.11</v>
      </c>
      <c r="R81" t="s">
        <v>40</v>
      </c>
    </row>
    <row r="82" spans="1:18">
      <c r="A82">
        <v>10</v>
      </c>
      <c r="B82">
        <v>54</v>
      </c>
      <c r="C82">
        <v>7</v>
      </c>
      <c r="D82">
        <f t="shared" si="26"/>
        <v>19</v>
      </c>
      <c r="E82" s="3">
        <f t="shared" si="23"/>
        <v>98.367853127896495</v>
      </c>
      <c r="F82" s="3">
        <f t="shared" si="24"/>
        <v>119.97039729750779</v>
      </c>
      <c r="G82" s="3">
        <v>10.801272084805648</v>
      </c>
    </row>
    <row r="83" spans="1:18">
      <c r="A83">
        <v>11</v>
      </c>
      <c r="B83">
        <v>60</v>
      </c>
      <c r="C83">
        <v>0</v>
      </c>
      <c r="E83" s="3">
        <f t="shared" si="23"/>
        <v>93.253054541324062</v>
      </c>
      <c r="F83" s="3">
        <f t="shared" si="24"/>
        <v>98.367853127896495</v>
      </c>
      <c r="G83" s="3">
        <v>2.5573992932862146</v>
      </c>
    </row>
    <row r="84" spans="1:18">
      <c r="E84" s="3"/>
      <c r="F84" s="3"/>
      <c r="G84" s="3"/>
    </row>
    <row r="85" spans="1:18">
      <c r="E85" s="3"/>
      <c r="F85" s="3"/>
      <c r="G85" s="3"/>
    </row>
    <row r="86" spans="1:18">
      <c r="F86" s="3"/>
      <c r="G8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2019-10-19T14:06:22Z</dcterms:created>
  <dcterms:modified xsi:type="dcterms:W3CDTF">2019-11-20T16:31:26Z</dcterms:modified>
</cp:coreProperties>
</file>